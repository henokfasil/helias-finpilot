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19440" windowHeight="12450" tabRatio="600" firstSheet="0" activeTab="0" autoFilterDateGrouping="1"/>
  </bookViews>
  <sheets>
    <sheet xmlns:r="http://schemas.openxmlformats.org/officeDocument/2006/relationships" name="General and Com" sheetId="1" state="visible" r:id="rId1"/>
    <sheet xmlns:r="http://schemas.openxmlformats.org/officeDocument/2006/relationships" name="General and Com Consolidate" sheetId="2" state="visible" r:id="rId2"/>
  </sheets>
  <definedNames>
    <definedName name="Beg_Bal">#REF!</definedName>
    <definedName name="Cum_Int">#REF!</definedName>
    <definedName name="Data">#REF!</definedName>
    <definedName name="End_Bal">#REF!</definedName>
    <definedName name="Extra_Pay">#REF!</definedName>
    <definedName name="Full_Print">#REF!</definedName>
    <definedName name="Header_Row">ROW(#REF!)</definedName>
    <definedName name="Insurance">#REF!</definedName>
    <definedName name="Int">#REF!</definedName>
    <definedName name="Interest_Rate">#REF!</definedName>
    <definedName name="Last_Row">IF(Values_Entered,Header_Row+Number_of_Payments,Header_Row)</definedName>
    <definedName name="Loan_Amount">#REF!</definedName>
    <definedName name="Loan_Start">#REF!</definedName>
    <definedName name="Loan_Years">#REF!</definedName>
    <definedName name="Num_Pmt_Per_Year">#REF!</definedName>
    <definedName name="Number_of_Payments">MATCH(0.01,End_Bal,-1)+1</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Sched_Pay">#REF!</definedName>
    <definedName name="Scheduled_Extra_Payments">#REF!</definedName>
    <definedName name="Scheduled_Interest_Rate">#REF!</definedName>
    <definedName name="Scheduled_Monthly_Payment">#REF!</definedName>
    <definedName name="Total_Interest">#REF!</definedName>
    <definedName name="Total_Pay">#REF!</definedName>
    <definedName name="Values_Entered">IF(Loan_Amount*Interest_Rate*Loan_Years*Loan_Start&gt;0,1,0)</definedName>
    <definedName name="_xlnm.Print_Area" localSheetId="0">'General and Com'!$A$1:$M$62</definedName>
  </definedNames>
  <calcPr calcId="144525" fullCalcOnLoad="1"/>
</workbook>
</file>

<file path=xl/styles.xml><?xml version="1.0" encoding="utf-8"?>
<styleSheet xmlns="http://schemas.openxmlformats.org/spreadsheetml/2006/main">
  <numFmts count="1">
    <numFmt numFmtId="164" formatCode="_(* #,##0_);_(* \(#,##0\);_(* &quot;-&quot;??_);_(@_)"/>
  </numFmts>
  <fonts count="41">
    <font>
      <name val="Calibri"/>
      <family val="2"/>
      <color theme="1"/>
      <sz val="11"/>
      <scheme val="minor"/>
    </font>
    <font>
      <name val="Calibri"/>
      <family val="2"/>
      <color theme="1"/>
      <sz val="11"/>
      <scheme val="minor"/>
    </font>
    <font>
      <name val="Calibri"/>
      <family val="2"/>
      <b val="1"/>
      <color theme="1"/>
      <sz val="11"/>
      <scheme val="minor"/>
    </font>
    <font>
      <name val="Calibri"/>
      <family val="2"/>
      <color theme="1"/>
      <sz val="8"/>
      <scheme val="minor"/>
    </font>
    <font>
      <name val="Times New Roman"/>
      <family val="1"/>
      <sz val="12"/>
    </font>
    <font>
      <name val="Times New Roman"/>
      <family val="1"/>
      <b val="1"/>
      <sz val="8"/>
    </font>
    <font>
      <name val="Times New Roman"/>
      <family val="1"/>
      <sz val="8"/>
    </font>
    <font>
      <name val="Times New Roman"/>
      <family val="1"/>
      <color rgb="FFFF0000"/>
      <sz val="8"/>
    </font>
    <font>
      <name val="Calibri"/>
      <family val="2"/>
      <b val="1"/>
      <color theme="1"/>
      <sz val="8"/>
      <scheme val="minor"/>
    </font>
    <font>
      <name val="Calibri"/>
      <family val="2"/>
      <color theme="1"/>
      <sz val="12"/>
      <scheme val="minor"/>
    </font>
    <font>
      <name val="Times New Roman"/>
      <family val="1"/>
      <b val="1"/>
      <sz val="12"/>
    </font>
    <font>
      <name val="Times New Roman"/>
      <family val="1"/>
      <color rgb="FF00B050"/>
      <sz val="12"/>
    </font>
    <font>
      <name val="Times New Roman"/>
      <family val="1"/>
      <b val="1"/>
      <color rgb="FFFF0000"/>
      <sz val="8"/>
    </font>
    <font>
      <name val="Calibri"/>
      <family val="2"/>
      <sz val="11"/>
      <scheme val="minor"/>
    </font>
    <font>
      <name val="Calibri"/>
      <family val="2"/>
      <b val="1"/>
      <color theme="1"/>
      <sz val="14"/>
      <scheme val="minor"/>
    </font>
    <font>
      <name val="Calibri"/>
      <family val="2"/>
      <b val="1"/>
      <color theme="1"/>
      <sz val="16"/>
      <scheme val="minor"/>
    </font>
    <font>
      <name val="Times New Roman"/>
      <family val="1"/>
      <b val="1"/>
      <sz val="9"/>
    </font>
    <font>
      <name val="Arial"/>
      <family val="2"/>
      <b val="1"/>
      <i val="1"/>
      <color theme="1"/>
      <sz val="8"/>
    </font>
    <font>
      <name val="Ebrima"/>
      <b val="1"/>
      <color theme="1"/>
      <sz val="14"/>
    </font>
    <font>
      <name val="Arial"/>
      <family val="2"/>
      <b val="1"/>
      <color theme="1"/>
      <sz val="8"/>
    </font>
    <font>
      <name val="Ebrima"/>
      <b val="1"/>
      <color theme="1"/>
      <sz val="11"/>
    </font>
    <font>
      <name val="Wingdings"/>
      <charset val="2"/>
      <color theme="1"/>
      <sz val="8"/>
    </font>
    <font>
      <name val="Wingdings"/>
      <charset val="2"/>
      <b val="1"/>
      <color theme="1"/>
      <sz val="8"/>
    </font>
    <font>
      <name val="Arial"/>
      <family val="2"/>
      <b val="1"/>
      <color theme="1"/>
      <sz val="11"/>
    </font>
    <font>
      <name val="Power Geez Unicode1"/>
      <color rgb="FF1D1B11"/>
      <sz val="8"/>
    </font>
    <font>
      <name val="Power Geez Unicode1"/>
      <color rgb="FF000000"/>
      <sz val="8"/>
    </font>
    <font>
      <name val="Power Geez Unicode1"/>
      <i val="1"/>
      <color rgb="FF000000"/>
      <sz val="8"/>
    </font>
    <font>
      <name val="Ebrima"/>
      <b val="1"/>
      <color theme="1"/>
      <sz val="12"/>
    </font>
    <font>
      <name val="Calibri"/>
      <family val="2"/>
      <b val="1"/>
      <sz val="12"/>
      <scheme val="minor"/>
    </font>
    <font>
      <name val="Power Geez Unicode1"/>
      <color theme="1"/>
      <sz val="8"/>
    </font>
    <font>
      <name val="Power Geez Unicode1"/>
      <i val="1"/>
      <color theme="1"/>
      <sz val="8"/>
    </font>
    <font>
      <name val="Calibri"/>
      <family val="2"/>
      <b val="1"/>
      <sz val="11"/>
      <scheme val="minor"/>
    </font>
    <font>
      <name val="Calibri"/>
      <family val="2"/>
      <b val="1"/>
      <color theme="1"/>
      <sz val="10"/>
      <scheme val="minor"/>
    </font>
    <font>
      <name val="Calibri"/>
      <family val="2"/>
      <color theme="1"/>
      <sz val="10"/>
      <scheme val="minor"/>
    </font>
    <font>
      <name val="Times New Roman"/>
      <family val="1"/>
      <sz val="10"/>
    </font>
    <font>
      <name val="Calibri"/>
      <family val="2"/>
      <sz val="10"/>
      <scheme val="minor"/>
    </font>
    <font>
      <name val="Times New Roman"/>
      <family val="1"/>
      <b val="1"/>
      <color rgb="FF00B050"/>
      <sz val="8"/>
    </font>
    <font>
      <name val="Power Geez Unicode1"/>
      <b val="1"/>
      <color theme="1"/>
      <sz val="8"/>
    </font>
    <font>
      <name val="Times New Roman"/>
      <family val="1"/>
      <sz val="9"/>
    </font>
    <font>
      <name val="Calibri"/>
      <sz val="10"/>
    </font>
    <font>
      <name val="Calibri"/>
      <b val="1"/>
      <sz val="10"/>
    </font>
  </fonts>
  <fills count="10">
    <fill>
      <patternFill/>
    </fill>
    <fill>
      <patternFill patternType="gray125"/>
    </fill>
    <fill>
      <patternFill patternType="solid">
        <fgColor theme="0" tint="-0.0499893185216834"/>
        <bgColor indexed="64"/>
      </patternFill>
    </fill>
    <fill>
      <patternFill patternType="solid">
        <fgColor theme="9" tint="0.3999755851924192"/>
        <bgColor indexed="64"/>
      </patternFill>
    </fill>
    <fill>
      <patternFill patternType="solid">
        <fgColor rgb="FFFF0000"/>
        <bgColor indexed="64"/>
      </patternFill>
    </fill>
    <fill>
      <patternFill patternType="solid">
        <fgColor theme="0" tint="-0.1499984740745262"/>
        <bgColor indexed="64"/>
      </patternFill>
    </fill>
    <fill>
      <patternFill patternType="solid">
        <fgColor rgb="FFD9D9D9"/>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1" fillId="0" borderId="0"/>
    <xf numFmtId="43" fontId="1" fillId="0" borderId="0"/>
    <xf numFmtId="9" fontId="1" fillId="0" borderId="0"/>
  </cellStyleXfs>
  <cellXfs count="221">
    <xf numFmtId="0" fontId="0" fillId="0" borderId="0" pivotButton="0" quotePrefix="0" xfId="0"/>
    <xf numFmtId="164" fontId="0" fillId="0" borderId="1" pivotButton="0" quotePrefix="0" xfId="1"/>
    <xf numFmtId="0" fontId="0" fillId="0" borderId="0" applyAlignment="1" pivotButton="0" quotePrefix="0" xfId="0">
      <alignment horizontal="left"/>
    </xf>
    <xf numFmtId="0" fontId="0" fillId="0" borderId="0" applyAlignment="1" pivotButton="0" quotePrefix="0" xfId="0">
      <alignment horizontal="center"/>
    </xf>
    <xf numFmtId="0" fontId="0" fillId="0" borderId="0" pivotButton="0" quotePrefix="0" xfId="0"/>
    <xf numFmtId="0" fontId="6" fillId="0" borderId="1" applyAlignment="1" pivotButton="0" quotePrefix="0" xfId="0">
      <alignment horizontal="center"/>
    </xf>
    <xf numFmtId="0" fontId="6" fillId="0" borderId="1" applyAlignment="1" pivotButton="0" quotePrefix="0" xfId="0">
      <alignment horizontal="left" wrapText="1"/>
    </xf>
    <xf numFmtId="0" fontId="7" fillId="0" borderId="1" applyAlignment="1" pivotButton="0" quotePrefix="0" xfId="0">
      <alignment horizontal="left" wrapText="1"/>
    </xf>
    <xf numFmtId="0" fontId="5" fillId="0" borderId="1" applyAlignment="1" pivotButton="0" quotePrefix="0" xfId="0">
      <alignment horizontal="left" wrapText="1"/>
    </xf>
    <xf numFmtId="0" fontId="12" fillId="2" borderId="1" applyAlignment="1" pivotButton="0" quotePrefix="0" xfId="0">
      <alignment horizontal="left" wrapText="1"/>
    </xf>
    <xf numFmtId="0" fontId="12" fillId="0" borderId="1" applyAlignment="1" pivotButton="0" quotePrefix="0" xfId="0">
      <alignment horizontal="left" wrapText="1"/>
    </xf>
    <xf numFmtId="0" fontId="3" fillId="0" borderId="1" applyAlignment="1" pivotButton="0" quotePrefix="0" xfId="0">
      <alignment horizontal="center" wrapText="1"/>
    </xf>
    <xf numFmtId="164" fontId="9" fillId="0" borderId="1" applyAlignment="1" pivotButton="0" quotePrefix="0" xfId="1">
      <alignment horizontal="center"/>
    </xf>
    <xf numFmtId="164" fontId="0" fillId="0" borderId="1" applyAlignment="1" pivotButton="0" quotePrefix="0" xfId="1">
      <alignment horizontal="center"/>
    </xf>
    <xf numFmtId="0" fontId="3" fillId="0" borderId="1" applyAlignment="1" pivotButton="0" quotePrefix="0" xfId="0">
      <alignment horizontal="center"/>
    </xf>
    <xf numFmtId="0" fontId="8" fillId="0" borderId="1" applyAlignment="1" pivotButton="0" quotePrefix="0" xfId="0">
      <alignment horizontal="center" wrapText="1"/>
    </xf>
    <xf numFmtId="164" fontId="4" fillId="0" borderId="1" applyAlignment="1" pivotButton="0" quotePrefix="0" xfId="1">
      <alignment horizontal="center" wrapText="1"/>
    </xf>
    <xf numFmtId="164" fontId="0" fillId="3" borderId="1" pivotButton="0" quotePrefix="0" xfId="1"/>
    <xf numFmtId="164" fontId="4" fillId="0" borderId="1" applyAlignment="1" pivotButton="0" quotePrefix="0" xfId="1">
      <alignment horizontal="center" wrapText="1"/>
    </xf>
    <xf numFmtId="164" fontId="4" fillId="0" borderId="1" applyAlignment="1" pivotButton="0" quotePrefix="0" xfId="1">
      <alignment horizontal="center"/>
    </xf>
    <xf numFmtId="164" fontId="10" fillId="0" borderId="1" applyAlignment="1" pivotButton="0" quotePrefix="0" xfId="1">
      <alignment horizontal="center"/>
    </xf>
    <xf numFmtId="164" fontId="11" fillId="0" borderId="1" applyAlignment="1" pivotButton="0" quotePrefix="0" xfId="1">
      <alignment horizontal="center" wrapText="1"/>
    </xf>
    <xf numFmtId="0" fontId="6" fillId="2" borderId="1" applyAlignment="1" pivotButton="0" quotePrefix="0" xfId="0">
      <alignment horizontal="center"/>
    </xf>
    <xf numFmtId="164" fontId="0" fillId="0" borderId="0" pivotButton="0" quotePrefix="0" xfId="1"/>
    <xf numFmtId="0" fontId="13" fillId="0" borderId="0" applyAlignment="1" pivotButton="0" quotePrefix="0" xfId="0">
      <alignment horizontal="left"/>
    </xf>
    <xf numFmtId="0" fontId="5" fillId="0" borderId="1" applyAlignment="1" pivotButton="0" quotePrefix="0" xfId="0">
      <alignment horizontal="left" wrapText="1"/>
    </xf>
    <xf numFmtId="1" fontId="9" fillId="0" borderId="1" applyAlignment="1" pivotButton="0" quotePrefix="0" xfId="1">
      <alignment horizontal="center" wrapText="1"/>
    </xf>
    <xf numFmtId="1" fontId="0" fillId="0" borderId="1" applyAlignment="1" pivotButton="0" quotePrefix="0" xfId="1">
      <alignment horizontal="center"/>
    </xf>
    <xf numFmtId="164" fontId="9" fillId="0" borderId="1" applyAlignment="1" pivotButton="0" quotePrefix="0" xfId="1">
      <alignment horizontal="left"/>
    </xf>
    <xf numFmtId="164" fontId="0" fillId="0" borderId="1" applyAlignment="1" pivotButton="0" quotePrefix="0" xfId="1">
      <alignment horizontal="left"/>
    </xf>
    <xf numFmtId="164" fontId="10" fillId="5" borderId="1" applyAlignment="1" pivotButton="0" quotePrefix="0" xfId="1">
      <alignment horizontal="center" wrapText="1"/>
    </xf>
    <xf numFmtId="164" fontId="10" fillId="5" borderId="1" applyAlignment="1" pivotButton="0" quotePrefix="0" xfId="1">
      <alignment horizontal="center"/>
    </xf>
    <xf numFmtId="9" fontId="10" fillId="0" borderId="1" applyAlignment="1" pivotButton="0" quotePrefix="0" xfId="2">
      <alignment horizontal="center"/>
    </xf>
    <xf numFmtId="164" fontId="14" fillId="4" borderId="1" pivotButton="0" quotePrefix="0" xfId="1"/>
    <xf numFmtId="9" fontId="15" fillId="4" borderId="1" pivotButton="0" quotePrefix="0" xfId="2"/>
    <xf numFmtId="0" fontId="0" fillId="0" borderId="0" applyAlignment="1" pivotButton="0" quotePrefix="0" xfId="0">
      <alignment wrapText="1"/>
    </xf>
    <xf numFmtId="0" fontId="6" fillId="5" borderId="1" applyAlignment="1" pivotButton="0" quotePrefix="0" xfId="0">
      <alignment horizontal="center"/>
    </xf>
    <xf numFmtId="0" fontId="20" fillId="0" borderId="0" applyAlignment="1" pivotButton="0" quotePrefix="0" xfId="0">
      <alignment horizontal="center" vertical="center"/>
    </xf>
    <xf numFmtId="0" fontId="3" fillId="0" borderId="0" pivotButton="0" quotePrefix="0" xfId="0"/>
    <xf numFmtId="0" fontId="19" fillId="0" borderId="0" applyAlignment="1" pivotButton="0" quotePrefix="0" xfId="0">
      <alignment vertical="center" wrapText="1"/>
    </xf>
    <xf numFmtId="0" fontId="28" fillId="0" borderId="0" applyAlignment="1" pivotButton="0" quotePrefix="0" xfId="0">
      <alignment horizontal="left"/>
    </xf>
    <xf numFmtId="0" fontId="3" fillId="0" borderId="1" pivotButton="0" quotePrefix="0" xfId="0"/>
    <xf numFmtId="0" fontId="25" fillId="0" borderId="1" applyAlignment="1" pivotButton="0" quotePrefix="0" xfId="0">
      <alignment vertical="center" wrapText="1"/>
    </xf>
    <xf numFmtId="0" fontId="24" fillId="0" borderId="1" applyAlignment="1" pivotButton="0" quotePrefix="0" xfId="0">
      <alignment vertical="center" wrapText="1"/>
    </xf>
    <xf numFmtId="0" fontId="29" fillId="0" borderId="0" pivotButton="0" quotePrefix="0" xfId="0"/>
    <xf numFmtId="0" fontId="29" fillId="0" borderId="0" applyAlignment="1" pivotButton="0" quotePrefix="0" xfId="0">
      <alignment vertical="top"/>
    </xf>
    <xf numFmtId="0" fontId="24" fillId="0" borderId="1" applyAlignment="1" pivotButton="0" quotePrefix="0" xfId="0">
      <alignment vertical="top" wrapText="1"/>
    </xf>
    <xf numFmtId="0" fontId="29" fillId="0" borderId="1" applyAlignment="1" pivotButton="0" quotePrefix="0" xfId="0">
      <alignment vertical="top" wrapText="1"/>
    </xf>
    <xf numFmtId="0" fontId="29" fillId="0" borderId="1" applyAlignment="1" pivotButton="0" quotePrefix="0" xfId="0">
      <alignment horizontal="left" vertical="top" wrapText="1"/>
    </xf>
    <xf numFmtId="0" fontId="17" fillId="0" borderId="0" applyAlignment="1" pivotButton="0" quotePrefix="0" xfId="0">
      <alignment wrapText="1"/>
    </xf>
    <xf numFmtId="0" fontId="22" fillId="0" borderId="0" applyAlignment="1" pivotButton="0" quotePrefix="0" xfId="0">
      <alignment horizontal="left" wrapText="1"/>
    </xf>
    <xf numFmtId="0" fontId="19" fillId="0" borderId="1" applyAlignment="1" pivotButton="0" quotePrefix="0" xfId="0">
      <alignment wrapText="1"/>
    </xf>
    <xf numFmtId="0" fontId="21" fillId="0" borderId="1" applyAlignment="1" pivotButton="0" quotePrefix="0" xfId="0">
      <alignment wrapText="1"/>
    </xf>
    <xf numFmtId="0" fontId="31" fillId="7" borderId="0" applyAlignment="1" pivotButton="0" quotePrefix="0" xfId="0">
      <alignment horizontal="left" vertical="center" wrapText="1"/>
    </xf>
    <xf numFmtId="0" fontId="32" fillId="0" borderId="2" applyAlignment="1" pivotButton="0" quotePrefix="0" xfId="0">
      <alignment horizontal="center" vertical="center"/>
    </xf>
    <xf numFmtId="0" fontId="32" fillId="0" borderId="1" applyAlignment="1" pivotButton="0" quotePrefix="0" xfId="0">
      <alignment horizontal="center" vertical="center" wrapText="1"/>
    </xf>
    <xf numFmtId="0" fontId="32" fillId="0" borderId="0" applyAlignment="1" pivotButton="0" quotePrefix="0" xfId="0">
      <alignment horizontal="center" vertical="center"/>
    </xf>
    <xf numFmtId="164" fontId="32" fillId="0" borderId="1" applyAlignment="1" pivotButton="0" quotePrefix="0" xfId="1">
      <alignment horizontal="center" vertical="center" wrapText="1"/>
    </xf>
    <xf numFmtId="164" fontId="32" fillId="0" borderId="0" applyAlignment="1" pivotButton="0" quotePrefix="0" xfId="1">
      <alignment horizontal="center" vertical="center"/>
    </xf>
    <xf numFmtId="0" fontId="6" fillId="0" borderId="1" applyAlignment="1" pivotButton="0" quotePrefix="0" xfId="0">
      <alignment wrapText="1"/>
    </xf>
    <xf numFmtId="0" fontId="0" fillId="0" borderId="1" applyAlignment="1" pivotButton="0" quotePrefix="0" xfId="0">
      <alignment horizontal="left"/>
    </xf>
    <xf numFmtId="164" fontId="0" fillId="5" borderId="1" pivotButton="0" quotePrefix="0" xfId="1"/>
    <xf numFmtId="0" fontId="33" fillId="0" borderId="1" applyAlignment="1" pivotButton="0" quotePrefix="0" xfId="0">
      <alignment horizontal="left"/>
    </xf>
    <xf numFmtId="0" fontId="34" fillId="0" borderId="1" applyAlignment="1" pivotButton="0" quotePrefix="0" xfId="0">
      <alignment wrapText="1"/>
    </xf>
    <xf numFmtId="0" fontId="35" fillId="0" borderId="1" applyAlignment="1" pivotButton="0" quotePrefix="0" xfId="0">
      <alignment horizontal="left"/>
    </xf>
    <xf numFmtId="164" fontId="10" fillId="0" borderId="1" applyAlignment="1" pivotButton="0" quotePrefix="0" xfId="1">
      <alignment wrapText="1"/>
    </xf>
    <xf numFmtId="164" fontId="2" fillId="5" borderId="1" pivotButton="0" quotePrefix="0" xfId="1"/>
    <xf numFmtId="0" fontId="0" fillId="0" borderId="0" pivotButton="0" quotePrefix="0" xfId="0"/>
    <xf numFmtId="0" fontId="6" fillId="8" borderId="1" applyAlignment="1" pivotButton="0" quotePrefix="0" xfId="0">
      <alignment horizontal="center"/>
    </xf>
    <xf numFmtId="0" fontId="36" fillId="0" borderId="1" applyAlignment="1" pivotButton="0" quotePrefix="0" xfId="0">
      <alignment horizontal="left" wrapText="1"/>
    </xf>
    <xf numFmtId="0" fontId="33" fillId="0" borderId="0" applyAlignment="1" pivotButton="0" quotePrefix="0" xfId="0">
      <alignment horizontal="center" vertical="center"/>
    </xf>
    <xf numFmtId="0" fontId="6" fillId="0" borderId="0" pivotButton="0" quotePrefix="0" xfId="0"/>
    <xf numFmtId="0" fontId="3" fillId="0" borderId="7" applyAlignment="1" pivotButton="0" quotePrefix="0" xfId="0">
      <alignment wrapText="1"/>
    </xf>
    <xf numFmtId="0" fontId="29" fillId="0" borderId="8" pivotButton="0" quotePrefix="0" xfId="0"/>
    <xf numFmtId="0" fontId="3" fillId="0" borderId="0" pivotButton="0" quotePrefix="0" xfId="0"/>
    <xf numFmtId="0" fontId="3" fillId="0" borderId="13" pivotButton="0" quotePrefix="0" xfId="0"/>
    <xf numFmtId="0" fontId="3" fillId="0" borderId="7" applyAlignment="1" pivotButton="0" quotePrefix="0" xfId="0">
      <alignment horizontal="center"/>
    </xf>
    <xf numFmtId="0" fontId="8" fillId="0" borderId="14" applyAlignment="1" pivotButton="0" quotePrefix="0" xfId="0">
      <alignment horizontal="center" wrapText="1"/>
    </xf>
    <xf numFmtId="0" fontId="3" fillId="0" borderId="15" applyAlignment="1" pivotButton="0" quotePrefix="0" xfId="0">
      <alignment wrapText="1"/>
    </xf>
    <xf numFmtId="0" fontId="29" fillId="0" borderId="16" pivotButton="0" quotePrefix="0" xfId="0"/>
    <xf numFmtId="0" fontId="3" fillId="0" borderId="17" applyAlignment="1" pivotButton="0" quotePrefix="0" xfId="0">
      <alignment horizontal="center"/>
    </xf>
    <xf numFmtId="0" fontId="3" fillId="0" borderId="0" applyAlignment="1" pivotButton="0" quotePrefix="0" xfId="0">
      <alignment horizontal="left" wrapText="1"/>
    </xf>
    <xf numFmtId="0" fontId="29" fillId="0" borderId="9" pivotButton="0" quotePrefix="0" xfId="0"/>
    <xf numFmtId="0" fontId="3" fillId="0" borderId="13" applyAlignment="1" pivotButton="0" quotePrefix="0" xfId="0">
      <alignment vertical="center"/>
    </xf>
    <xf numFmtId="0" fontId="3" fillId="0" borderId="17" applyAlignment="1" pivotButton="0" quotePrefix="0" xfId="0">
      <alignment vertical="center" wrapText="1"/>
    </xf>
    <xf numFmtId="0" fontId="3" fillId="0" borderId="17" pivotButton="0" quotePrefix="0" xfId="0"/>
    <xf numFmtId="0" fontId="3" fillId="0" borderId="0" applyAlignment="1" pivotButton="0" quotePrefix="0" xfId="0">
      <alignment horizontal="left" vertical="center" wrapText="1"/>
    </xf>
    <xf numFmtId="0" fontId="29" fillId="0" borderId="18" pivotButton="0" quotePrefix="0" xfId="0"/>
    <xf numFmtId="0" fontId="3" fillId="0" borderId="17" applyAlignment="1" pivotButton="0" quotePrefix="0" xfId="0">
      <alignment vertical="center"/>
    </xf>
    <xf numFmtId="0" fontId="3" fillId="0" borderId="15" pivotButton="0" quotePrefix="0" xfId="0"/>
    <xf numFmtId="0" fontId="3" fillId="0" borderId="16" applyAlignment="1" pivotButton="0" quotePrefix="0" xfId="0">
      <alignment horizontal="left" vertical="center" wrapText="1"/>
    </xf>
    <xf numFmtId="0" fontId="3" fillId="0" borderId="17" applyAlignment="1" pivotButton="0" quotePrefix="0" xfId="0">
      <alignment horizontal="right" wrapText="1"/>
    </xf>
    <xf numFmtId="0" fontId="29" fillId="0" borderId="0" pivotButton="0" quotePrefix="0" xfId="0"/>
    <xf numFmtId="0" fontId="3" fillId="0" borderId="0" applyAlignment="1" pivotButton="0" quotePrefix="0" xfId="0">
      <alignment vertical="center"/>
    </xf>
    <xf numFmtId="0" fontId="3" fillId="0" borderId="17" applyAlignment="1" pivotButton="0" quotePrefix="0" xfId="0">
      <alignment horizontal="right" vertical="center" wrapText="1"/>
    </xf>
    <xf numFmtId="0" fontId="3" fillId="0" borderId="15" applyAlignment="1" pivotButton="0" quotePrefix="0" xfId="0">
      <alignment horizontal="right" vertical="center" wrapText="1"/>
    </xf>
    <xf numFmtId="0" fontId="3" fillId="0" borderId="16" applyAlignment="1" pivotButton="0" quotePrefix="0" xfId="0">
      <alignment vertical="center"/>
    </xf>
    <xf numFmtId="0" fontId="3" fillId="0" borderId="8" pivotButton="0" quotePrefix="0" xfId="0"/>
    <xf numFmtId="0" fontId="3" fillId="0" borderId="9" pivotButton="0" quotePrefix="0" xfId="0"/>
    <xf numFmtId="0" fontId="3" fillId="0" borderId="16" pivotButton="0" quotePrefix="0" xfId="0"/>
    <xf numFmtId="0" fontId="3" fillId="0" borderId="18" applyAlignment="1" pivotButton="0" quotePrefix="0" xfId="0">
      <alignment vertical="center"/>
    </xf>
    <xf numFmtId="0" fontId="3" fillId="0" borderId="18" applyAlignment="1" pivotButton="0" quotePrefix="0" xfId="0">
      <alignment vertical="top"/>
    </xf>
    <xf numFmtId="0" fontId="32" fillId="0" borderId="10" applyAlignment="1" pivotButton="0" quotePrefix="0" xfId="0">
      <alignment vertical="center" wrapText="1"/>
    </xf>
    <xf numFmtId="0" fontId="32" fillId="0" borderId="12" applyAlignment="1" pivotButton="0" quotePrefix="0" xfId="0">
      <alignment vertical="center" wrapText="1"/>
    </xf>
    <xf numFmtId="0" fontId="3" fillId="0" borderId="12" applyAlignment="1" pivotButton="0" quotePrefix="0" xfId="0">
      <alignment vertical="center" wrapText="1"/>
    </xf>
    <xf numFmtId="0" fontId="3" fillId="0" borderId="9" applyAlignment="1" pivotButton="0" quotePrefix="0" xfId="0">
      <alignment vertical="center" wrapText="1"/>
    </xf>
    <xf numFmtId="0" fontId="3" fillId="0" borderId="13" applyAlignment="1" pivotButton="0" quotePrefix="0" xfId="0">
      <alignment vertical="center" wrapText="1"/>
    </xf>
    <xf numFmtId="0" fontId="3" fillId="0" borderId="18" applyAlignment="1" pivotButton="0" quotePrefix="0" xfId="0">
      <alignment vertical="center" wrapText="1"/>
    </xf>
    <xf numFmtId="0" fontId="3" fillId="0" borderId="19" applyAlignment="1" pivotButton="0" quotePrefix="0" xfId="0">
      <alignment horizontal="center" wrapText="1"/>
    </xf>
    <xf numFmtId="0" fontId="37" fillId="0" borderId="20" applyAlignment="1" pivotButton="0" quotePrefix="0" xfId="0">
      <alignment horizontal="center" wrapText="1"/>
    </xf>
    <xf numFmtId="0" fontId="3" fillId="0" borderId="20" applyAlignment="1" pivotButton="0" quotePrefix="0" xfId="0">
      <alignment horizontal="left" wrapText="1"/>
    </xf>
    <xf numFmtId="0" fontId="3" fillId="0" borderId="20" applyAlignment="1" pivotButton="0" quotePrefix="0" xfId="0">
      <alignment horizontal="left" vertical="center" wrapText="1"/>
    </xf>
    <xf numFmtId="0" fontId="3" fillId="0" borderId="21" applyAlignment="1" pivotButton="0" quotePrefix="0" xfId="0">
      <alignment horizontal="left" vertical="center" wrapText="1"/>
    </xf>
    <xf numFmtId="0" fontId="3" fillId="0" borderId="21" pivotButton="0" quotePrefix="0" xfId="0"/>
    <xf numFmtId="0" fontId="38" fillId="0" borderId="1" applyAlignment="1" pivotButton="0" quotePrefix="0" xfId="0">
      <alignment horizontal="left" wrapText="1"/>
    </xf>
    <xf numFmtId="0" fontId="7" fillId="0" borderId="1" applyAlignment="1" pivotButton="0" quotePrefix="0" xfId="0">
      <alignment horizontal="left" vertical="center" wrapText="1"/>
    </xf>
    <xf numFmtId="0" fontId="7" fillId="0" borderId="1" applyAlignment="1" pivotButton="0" quotePrefix="0" xfId="0">
      <alignment horizontal="left" vertical="center" wrapText="1"/>
    </xf>
    <xf numFmtId="0" fontId="20" fillId="0" borderId="0" applyAlignment="1" pivotButton="0" quotePrefix="0" xfId="0">
      <alignment horizontal="center" vertical="center"/>
    </xf>
    <xf numFmtId="0" fontId="21" fillId="0" borderId="5" applyAlignment="1" pivotButton="0" quotePrefix="0" xfId="0">
      <alignment horizontal="left" vertical="center" wrapText="1"/>
    </xf>
    <xf numFmtId="0" fontId="21" fillId="0" borderId="0" applyAlignment="1" pivotButton="0" quotePrefix="0" xfId="0">
      <alignment horizontal="left" vertical="center" wrapText="1"/>
    </xf>
    <xf numFmtId="0" fontId="22" fillId="0" borderId="5" applyAlignment="1" pivotButton="0" quotePrefix="0" xfId="0">
      <alignment horizontal="left" vertical="center" wrapText="1"/>
    </xf>
    <xf numFmtId="0" fontId="22" fillId="0" borderId="0" applyAlignment="1" pivotButton="0" quotePrefix="0" xfId="0">
      <alignment horizontal="left" vertical="center" wrapText="1"/>
    </xf>
    <xf numFmtId="0" fontId="24" fillId="0" borderId="1" applyAlignment="1" pivotButton="0" quotePrefix="0" xfId="0">
      <alignment vertical="center" wrapText="1"/>
    </xf>
    <xf numFmtId="0" fontId="24"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center" vertical="center" wrapText="1"/>
    </xf>
    <xf numFmtId="164" fontId="24" fillId="0" borderId="1" applyAlignment="1" pivotButton="0" quotePrefix="0" xfId="1">
      <alignment horizontal="center" vertical="center" wrapText="1"/>
    </xf>
    <xf numFmtId="164" fontId="25" fillId="0" borderId="1" applyAlignment="1" pivotButton="0" quotePrefix="0" xfId="1">
      <alignment horizontal="center" vertical="center" wrapText="1"/>
    </xf>
    <xf numFmtId="164" fontId="24" fillId="6" borderId="1" applyAlignment="1" pivotButton="0" quotePrefix="0" xfId="1">
      <alignment horizontal="center" vertical="center" wrapText="1"/>
    </xf>
    <xf numFmtId="0" fontId="17" fillId="0" borderId="0" applyAlignment="1" pivotButton="0" quotePrefix="0" xfId="0">
      <alignment vertical="center" wrapText="1"/>
    </xf>
    <xf numFmtId="0" fontId="27" fillId="0" borderId="0" applyAlignment="1" pivotButton="0" quotePrefix="0" xfId="0">
      <alignment horizontal="center" vertical="center" wrapText="1"/>
    </xf>
    <xf numFmtId="0" fontId="27" fillId="0" borderId="6" applyAlignment="1" pivotButton="0" quotePrefix="0" xfId="0">
      <alignment horizontal="center" vertical="center" wrapText="1"/>
    </xf>
    <xf numFmtId="0" fontId="20" fillId="0" borderId="0" applyAlignment="1" pivotButton="0" quotePrefix="0" xfId="0">
      <alignment horizontal="center" vertical="center" wrapText="1"/>
    </xf>
    <xf numFmtId="0" fontId="20" fillId="0" borderId="6" applyAlignment="1" pivotButton="0" quotePrefix="0" xfId="0">
      <alignment horizontal="center" vertical="center" wrapText="1"/>
    </xf>
    <xf numFmtId="0" fontId="19" fillId="0" borderId="0" applyAlignment="1" pivotButton="0" quotePrefix="0" xfId="0">
      <alignment horizontal="center" vertical="center" wrapText="1"/>
    </xf>
    <xf numFmtId="0" fontId="18" fillId="2" borderId="0" applyAlignment="1" pivotButton="0" quotePrefix="0" xfId="0">
      <alignment horizontal="center" vertical="center" wrapText="1"/>
    </xf>
    <xf numFmtId="0" fontId="0" fillId="0" borderId="1" applyAlignment="1" pivotButton="0" quotePrefix="0" xfId="0">
      <alignment horizontal="center"/>
    </xf>
    <xf numFmtId="0" fontId="2" fillId="0" borderId="1" applyAlignment="1" pivotButton="0" quotePrefix="0" xfId="0">
      <alignment horizontal="center"/>
    </xf>
    <xf numFmtId="0" fontId="3" fillId="0" borderId="1" applyAlignment="1" pivotButton="0" quotePrefix="0" xfId="0">
      <alignment horizontal="center" wrapText="1"/>
    </xf>
    <xf numFmtId="164" fontId="0" fillId="3" borderId="2" applyAlignment="1" pivotButton="0" quotePrefix="0" xfId="1">
      <alignment horizontal="center" vertical="center"/>
    </xf>
    <xf numFmtId="164" fontId="0" fillId="3" borderId="3" applyAlignment="1" pivotButton="0" quotePrefix="0" xfId="1">
      <alignment horizontal="center" vertical="center"/>
    </xf>
    <xf numFmtId="164" fontId="0" fillId="3" borderId="4" applyAlignment="1" pivotButton="0" quotePrefix="0" xfId="1">
      <alignment horizontal="center" vertical="center"/>
    </xf>
    <xf numFmtId="164" fontId="9" fillId="0" borderId="1" applyAlignment="1" pivotButton="0" quotePrefix="0" xfId="1">
      <alignment horizontal="center"/>
    </xf>
    <xf numFmtId="0" fontId="37" fillId="0" borderId="17" applyAlignment="1" pivotButton="0" quotePrefix="0" xfId="0">
      <alignment horizontal="center" wrapText="1"/>
    </xf>
    <xf numFmtId="0" fontId="37" fillId="0" borderId="0" applyAlignment="1" pivotButton="0" quotePrefix="0" xfId="0">
      <alignment horizontal="center" wrapText="1"/>
    </xf>
    <xf numFmtId="0" fontId="37" fillId="0" borderId="13" applyAlignment="1" pivotButton="0" quotePrefix="0" xfId="0">
      <alignment horizontal="center" wrapText="1"/>
    </xf>
    <xf numFmtId="0" fontId="32" fillId="0" borderId="7" applyAlignment="1" pivotButton="0" quotePrefix="0" xfId="0">
      <alignment horizontal="center" vertical="center" wrapText="1"/>
    </xf>
    <xf numFmtId="0" fontId="32" fillId="0" borderId="8" applyAlignment="1" pivotButton="0" quotePrefix="0" xfId="0">
      <alignment horizontal="center" vertical="center" wrapText="1"/>
    </xf>
    <xf numFmtId="0" fontId="32" fillId="0" borderId="9" applyAlignment="1" pivotButton="0" quotePrefix="0" xfId="0">
      <alignment horizontal="center" vertical="center" wrapText="1"/>
    </xf>
    <xf numFmtId="0" fontId="32" fillId="0" borderId="10" applyAlignment="1" pivotButton="0" quotePrefix="0" xfId="0">
      <alignment horizontal="center" vertical="center" wrapText="1"/>
    </xf>
    <xf numFmtId="0" fontId="32" fillId="0" borderId="11" applyAlignment="1" pivotButton="0" quotePrefix="0" xfId="0">
      <alignment horizontal="center" vertical="center" wrapText="1"/>
    </xf>
    <xf numFmtId="0" fontId="32" fillId="0" borderId="12" applyAlignment="1" pivotButton="0" quotePrefix="0" xfId="0">
      <alignment horizontal="center"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7" applyAlignment="1" pivotButton="0" quotePrefix="0" xfId="0">
      <alignment horizontal="center" vertical="center" wrapText="1"/>
    </xf>
    <xf numFmtId="0" fontId="3" fillId="0" borderId="9" applyAlignment="1" pivotButton="0" quotePrefix="0" xfId="0">
      <alignment horizontal="center" vertical="center" wrapText="1"/>
    </xf>
    <xf numFmtId="0" fontId="3" fillId="0" borderId="17"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5" applyAlignment="1" pivotButton="0" quotePrefix="0" xfId="0">
      <alignment horizontal="center" vertical="center" wrapText="1"/>
    </xf>
    <xf numFmtId="0" fontId="3" fillId="0" borderId="18" applyAlignment="1" pivotButton="0" quotePrefix="0" xfId="0">
      <alignment horizontal="center" vertical="center" wrapText="1"/>
    </xf>
    <xf numFmtId="0" fontId="3" fillId="0" borderId="7" applyAlignment="1" pivotButton="0" quotePrefix="0" xfId="0">
      <alignment horizontal="center" wrapText="1"/>
    </xf>
    <xf numFmtId="0" fontId="3" fillId="0" borderId="8" applyAlignment="1" pivotButton="0" quotePrefix="0" xfId="0">
      <alignment horizontal="center" wrapText="1"/>
    </xf>
    <xf numFmtId="0" fontId="3" fillId="0" borderId="9" applyAlignment="1" pivotButton="0" quotePrefix="0" xfId="0">
      <alignment horizontal="center" wrapText="1"/>
    </xf>
    <xf numFmtId="0" fontId="29" fillId="0" borderId="1" applyAlignment="1" pivotButton="0" quotePrefix="0" xfId="0">
      <alignment horizontal="left" vertical="top" wrapText="1"/>
    </xf>
    <xf numFmtId="0" fontId="24" fillId="2" borderId="1" applyAlignment="1" pivotButton="0" quotePrefix="0" xfId="0">
      <alignment horizontal="center" vertical="top" wrapText="1"/>
    </xf>
    <xf numFmtId="0" fontId="3" fillId="0" borderId="10" applyAlignment="1" pivotButton="0" quotePrefix="0" xfId="0">
      <alignment horizontal="center" vertical="center" wrapText="1"/>
    </xf>
    <xf numFmtId="0" fontId="3" fillId="0" borderId="11" applyAlignment="1" pivotButton="0" quotePrefix="0" xfId="0">
      <alignment horizontal="center" vertical="center" wrapText="1"/>
    </xf>
    <xf numFmtId="0" fontId="22" fillId="0" borderId="1" applyAlignment="1" pivotButton="0" quotePrefix="0" xfId="0">
      <alignment horizontal="center" wrapText="1"/>
    </xf>
    <xf numFmtId="0" fontId="24" fillId="0" borderId="1" applyAlignment="1" pivotButton="0" quotePrefix="0" xfId="0">
      <alignment horizontal="left" vertical="top" wrapText="1"/>
    </xf>
    <xf numFmtId="0" fontId="6" fillId="9" borderId="1" applyAlignment="1" pivotButton="0" quotePrefix="0" xfId="0">
      <alignment wrapText="1"/>
    </xf>
    <xf numFmtId="164" fontId="0" fillId="0" borderId="0" pivotButton="0" quotePrefix="0" xfId="1"/>
    <xf numFmtId="0" fontId="0" fillId="0" borderId="6" pivotButton="0" quotePrefix="0" xfId="0"/>
    <xf numFmtId="0" fontId="0" fillId="0" borderId="24" pivotButton="0" quotePrefix="0" xfId="0"/>
    <xf numFmtId="0" fontId="0" fillId="0" borderId="25" pivotButton="0" quotePrefix="0" xfId="0"/>
    <xf numFmtId="164" fontId="24" fillId="0" borderId="1" applyAlignment="1" pivotButton="0" quotePrefix="0" xfId="1">
      <alignment horizontal="center" vertical="center" wrapText="1"/>
    </xf>
    <xf numFmtId="164" fontId="24" fillId="6" borderId="1" applyAlignment="1" pivotButton="0" quotePrefix="0" xfId="1">
      <alignment horizontal="center" vertical="center" wrapText="1"/>
    </xf>
    <xf numFmtId="164" fontId="25" fillId="0" borderId="1" applyAlignment="1" pivotButton="0" quotePrefix="0" xfId="1">
      <alignment horizontal="center" vertical="center" wrapText="1"/>
    </xf>
    <xf numFmtId="0" fontId="0" fillId="0" borderId="23" pivotButton="0" quotePrefix="0" xfId="0"/>
    <xf numFmtId="164" fontId="9" fillId="0" borderId="1" applyAlignment="1" pivotButton="0" quotePrefix="0" xfId="1">
      <alignment horizontal="left"/>
    </xf>
    <xf numFmtId="164" fontId="0" fillId="0" borderId="1" applyAlignment="1" pivotButton="0" quotePrefix="0" xfId="1">
      <alignment horizontal="left"/>
    </xf>
    <xf numFmtId="164" fontId="0" fillId="3" borderId="1" applyAlignment="1" pivotButton="0" quotePrefix="0" xfId="1">
      <alignment horizontal="center" vertical="center"/>
    </xf>
    <xf numFmtId="0" fontId="0" fillId="0" borderId="3" pivotButton="0" quotePrefix="0" xfId="0"/>
    <xf numFmtId="0" fontId="0" fillId="0" borderId="5" pivotButton="0" quotePrefix="0" xfId="0"/>
    <xf numFmtId="164" fontId="9" fillId="0" borderId="1" applyAlignment="1" pivotButton="0" quotePrefix="0" xfId="1">
      <alignment horizontal="center"/>
    </xf>
    <xf numFmtId="164" fontId="0" fillId="0" borderId="1" applyAlignment="1" pivotButton="0" quotePrefix="0" xfId="1">
      <alignment horizontal="center"/>
    </xf>
    <xf numFmtId="0" fontId="0" fillId="0" borderId="4" pivotButton="0" quotePrefix="0" xfId="0"/>
    <xf numFmtId="0" fontId="0" fillId="0" borderId="26" pivotButton="0" quotePrefix="0" xfId="0"/>
    <xf numFmtId="0" fontId="0" fillId="0" borderId="27" pivotButton="0" quotePrefix="0" xfId="0"/>
    <xf numFmtId="164" fontId="4" fillId="0" borderId="1" applyAlignment="1" pivotButton="0" quotePrefix="0" xfId="1">
      <alignment horizontal="center" wrapText="1"/>
    </xf>
    <xf numFmtId="164" fontId="0" fillId="0" borderId="1" pivotButton="0" quotePrefix="0" xfId="1"/>
    <xf numFmtId="164" fontId="0" fillId="3" borderId="1" pivotButton="0" quotePrefix="0" xfId="1"/>
    <xf numFmtId="164" fontId="10" fillId="5" borderId="1" applyAlignment="1" pivotButton="0" quotePrefix="0" xfId="1">
      <alignment horizontal="center" wrapText="1"/>
    </xf>
    <xf numFmtId="164" fontId="4" fillId="0" borderId="1" applyAlignment="1" pivotButton="0" quotePrefix="0" xfId="1">
      <alignment horizontal="center"/>
    </xf>
    <xf numFmtId="164" fontId="10" fillId="5" borderId="1" applyAlignment="1" pivotButton="0" quotePrefix="0" xfId="1">
      <alignment horizontal="center"/>
    </xf>
    <xf numFmtId="164" fontId="10" fillId="0" borderId="1" applyAlignment="1" pivotButton="0" quotePrefix="0" xfId="1">
      <alignment horizontal="center"/>
    </xf>
    <xf numFmtId="164" fontId="11" fillId="0" borderId="1" applyAlignment="1" pivotButton="0" quotePrefix="0" xfId="1">
      <alignment horizontal="center" wrapText="1"/>
    </xf>
    <xf numFmtId="164" fontId="14" fillId="4" borderId="1" pivotButton="0" quotePrefix="0" xfId="1"/>
    <xf numFmtId="0" fontId="32" fillId="0" borderId="19" applyAlignment="1" pivotButton="0" quotePrefix="0" xfId="0">
      <alignment horizontal="center" vertical="center" wrapText="1"/>
    </xf>
    <xf numFmtId="0" fontId="0" fillId="0" borderId="8" pivotButton="0" quotePrefix="0" xfId="0"/>
    <xf numFmtId="0" fontId="0" fillId="0" borderId="9" pivotButton="0" quotePrefix="0" xfId="0"/>
    <xf numFmtId="0" fontId="32" fillId="0" borderId="14" applyAlignment="1" pivotButton="0" quotePrefix="0" xfId="0">
      <alignment horizontal="center" vertical="center" wrapText="1"/>
    </xf>
    <xf numFmtId="0" fontId="0" fillId="0" borderId="11" pivotButton="0" quotePrefix="0" xfId="0"/>
    <xf numFmtId="0" fontId="0" fillId="0" borderId="12" pivotButton="0" quotePrefix="0" xfId="0"/>
    <xf numFmtId="0" fontId="3" fillId="0" borderId="14" applyAlignment="1" pivotButton="0" quotePrefix="0" xfId="0">
      <alignment horizontal="left" vertical="center" wrapText="1"/>
    </xf>
    <xf numFmtId="0" fontId="0" fillId="0" borderId="13" pivotButton="0" quotePrefix="0" xfId="0"/>
    <xf numFmtId="0" fontId="3" fillId="0" borderId="14" applyAlignment="1" pivotButton="0" quotePrefix="0" xfId="0">
      <alignment horizontal="center" vertical="center" wrapText="1"/>
    </xf>
    <xf numFmtId="0" fontId="0" fillId="0" borderId="17" pivotButton="0" quotePrefix="0" xfId="0"/>
    <xf numFmtId="0" fontId="0" fillId="0" borderId="15" pivotButton="0" quotePrefix="0" xfId="0"/>
    <xf numFmtId="0" fontId="0" fillId="0" borderId="18" pivotButton="0" quotePrefix="0" xfId="0"/>
    <xf numFmtId="164" fontId="32" fillId="0" borderId="1" applyAlignment="1" pivotButton="0" quotePrefix="0" xfId="1">
      <alignment horizontal="center" vertical="center" wrapText="1"/>
    </xf>
    <xf numFmtId="164" fontId="32" fillId="0" borderId="0" applyAlignment="1" pivotButton="0" quotePrefix="0" xfId="1">
      <alignment horizontal="center" vertical="center"/>
    </xf>
    <xf numFmtId="4" fontId="39" fillId="0" borderId="1" applyAlignment="1" pivotButton="0" quotePrefix="0" xfId="0">
      <alignment horizontal="right" vertical="center"/>
    </xf>
    <xf numFmtId="4" fontId="40" fillId="0" borderId="1" applyAlignment="1" pivotButton="0" quotePrefix="0" xfId="0">
      <alignment horizontal="right" vertical="center"/>
    </xf>
    <xf numFmtId="4" fontId="39" fillId="9" borderId="1" applyAlignment="1" pivotButton="0" quotePrefix="0" xfId="0">
      <alignment horizontal="right" vertical="center"/>
    </xf>
    <xf numFmtId="4" fontId="40" fillId="0" borderId="1" applyAlignment="1" pivotButton="0" quotePrefix="0" xfId="1">
      <alignment horizontal="right" vertical="center"/>
    </xf>
    <xf numFmtId="4" fontId="39" fillId="0" borderId="1" applyAlignment="1" pivotButton="0" quotePrefix="0" xfId="1">
      <alignment horizontal="right" vertical="center"/>
    </xf>
    <xf numFmtId="4" fontId="40" fillId="5" borderId="1" applyAlignment="1" pivotButton="0" quotePrefix="0" xfId="1">
      <alignment horizontal="right" vertical="center"/>
    </xf>
    <xf numFmtId="164" fontId="2" fillId="5" borderId="1" pivotButton="0" quotePrefix="0" xfId="1"/>
    <xf numFmtId="0" fontId="3" fillId="0" borderId="0" applyAlignment="1" pivotButton="0" quotePrefix="0" xfId="0">
      <alignment vertical="top"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FinPilot</author>
  </authors>
  <commentList>
    <comment ref="F12" authorId="0" shapeId="0">
      <text>
        <t>Net service revenue (turnover), VAT-exclusive.
NBE 1,243,400.09 + EEA 839,130.43. See Revenue Summary.</t>
      </text>
    </comment>
    <comment ref="F36" authorId="0" shapeId="0">
      <text>
        <t>Depreciation = 489,217.39 equipment x 20% pool.
Computer portion may qualify for 25%.</t>
      </text>
    </comment>
    <comment ref="F40" authorId="0" shapeId="0">
      <text>
        <t>Corridor consulting/software 641,217.39 + printing 4,500.06 + training/meals 5,430.02 + bank charges 45.31</t>
      </text>
    </comment>
    <comment ref="F62" authorId="0" shapeId="0">
      <text>
        <t>Withholding tax withheld from Helias by clients (creditable):
NBE 37,302.00 + EEA 25,173.91.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69"/>
  <sheetViews>
    <sheetView tabSelected="1" zoomScaleNormal="100" workbookViewId="0">
      <selection activeCell="J65" sqref="J65:L65"/>
    </sheetView>
  </sheetViews>
  <sheetFormatPr baseColWidth="8" defaultRowHeight="15"/>
  <cols>
    <col width="2.42578125" customWidth="1" style="67" min="1" max="1"/>
    <col width="6.140625" customWidth="1" style="67" min="2" max="2"/>
    <col width="42.28515625" customWidth="1" style="24" min="3" max="3"/>
    <col width="24.85546875" customWidth="1" style="2" min="4" max="4"/>
    <col width="13.140625" customWidth="1" style="67" min="5" max="5"/>
    <col width="9.7109375" customWidth="1" style="172" min="6" max="6"/>
    <col width="10.5703125" customWidth="1" style="172" min="7" max="7"/>
    <col width="10.7109375" customWidth="1" style="172" min="8" max="8"/>
    <col width="9.7109375" customWidth="1" style="172" min="9" max="9"/>
    <col width="10.7109375" customWidth="1" style="172" min="10" max="10"/>
    <col width="10.28515625" customWidth="1" style="172" min="11" max="12"/>
    <col width="10" customWidth="1" style="172" min="13" max="13"/>
    <col width="14.7109375" customWidth="1" style="67" min="14" max="14"/>
    <col width="9.140625" customWidth="1" style="67" min="15" max="16384"/>
  </cols>
  <sheetData>
    <row r="1" ht="39" customHeight="1" s="67">
      <c r="B1" s="130" t="n"/>
      <c r="C1" s="24" t="n"/>
      <c r="D1" s="136" t="inlineStr">
        <is>
          <t>ገቢዎች ሚኒስቴር
Ministry of Revenue</t>
        </is>
      </c>
      <c r="G1" s="135" t="inlineStr">
        <is>
          <t>Check Filing Status:</t>
        </is>
      </c>
      <c r="J1" s="39" t="n"/>
      <c r="K1" s="117" t="n"/>
      <c r="L1" s="117" t="n"/>
    </row>
    <row r="2" ht="39" customHeight="1" s="67">
      <c r="C2" s="24" t="n"/>
      <c r="D2" s="132" t="inlineStr">
        <is>
          <t xml:space="preserve">ሠንጠረዥ ሐ -የንግድ ስራ ገቢ ማሳወቂያ ቅፅ
Schedule C - Business Income Tax Declaration </t>
        </is>
      </c>
      <c r="F2" s="173" t="n"/>
      <c r="G2" s="118" t="inlineStr">
        <is>
          <t>¨ Schedule C Business Income Tax</t>
        </is>
      </c>
      <c r="J2" s="117" t="n"/>
      <c r="K2" s="117" t="n"/>
      <c r="L2" s="117" t="n"/>
    </row>
    <row r="3" ht="44.25" customHeight="1" s="67">
      <c r="C3" s="40" t="inlineStr">
        <is>
          <t>Sector Based Declaration Form</t>
        </is>
      </c>
      <c r="D3" s="134" t="inlineStr">
        <is>
          <t xml:space="preserve">የሂሳብ መዝገብ መያዝ ለሚጠበቅባቸው ማናቸውም ድርጅቶች እና ግለሰቦች 
For Company and Individuals those who Maintain Book of Accounts </t>
        </is>
      </c>
      <c r="F3" s="173" t="n"/>
      <c r="G3" s="120" t="inlineStr">
        <is>
          <t xml:space="preserve">¨ Schedule C Mining </t>
        </is>
      </c>
      <c r="J3" s="117" t="n"/>
      <c r="K3" s="117" t="n"/>
      <c r="L3" s="117" t="n"/>
    </row>
    <row r="4" ht="39" customHeight="1" s="67">
      <c r="B4" s="117" t="inlineStr">
        <is>
          <t>ክፍል 1፡- የግብር ከፋይ መለያ ዝርዝር መረጃ (Section 1 – Taxpayer Information)</t>
        </is>
      </c>
      <c r="I4" s="117" t="n"/>
      <c r="J4" s="117" t="n"/>
      <c r="K4" s="117" t="n"/>
      <c r="L4" s="117" t="n"/>
    </row>
    <row r="5" ht="39" customFormat="1" customHeight="1" s="74">
      <c r="B5" s="122" t="inlineStr">
        <is>
          <t xml:space="preserve">1የግብር ከፋዩ ስም(የድርጅቱ ስም ወይም ስም የአባት ስም እና የአያት ስም) (Taxpayer’s Company Name or Name, Father’s Name, Grandfather’s Name) </t>
        </is>
      </c>
      <c r="C5" s="174" t="n"/>
      <c r="D5" s="175" t="n"/>
      <c r="E5" s="176" t="inlineStr">
        <is>
          <t xml:space="preserve">3. የግብር ከፋይ መለያ ቁጥር (Taxpayer Identification Number) </t>
        </is>
      </c>
      <c r="F5" s="175" t="n"/>
      <c r="G5" s="41" t="n"/>
      <c r="H5" s="124" t="inlineStr">
        <is>
          <t xml:space="preserve">8.የግብር ዘመን ( For the Year of _________) </t>
        </is>
      </c>
      <c r="I5" s="175" t="n"/>
      <c r="J5" s="42" t="inlineStr">
        <is>
          <t xml:space="preserve"> (Frame 1301) Page 1 of ___</t>
        </is>
      </c>
      <c r="K5" s="41" t="n"/>
      <c r="L5" s="41" t="n"/>
    </row>
    <row r="6" ht="39" customFormat="1" customHeight="1" s="74">
      <c r="B6" s="124" t="inlineStr">
        <is>
          <t xml:space="preserve">2a. ክልል (Region) </t>
        </is>
      </c>
      <c r="C6" s="175" t="n"/>
      <c r="D6" s="122" t="inlineStr">
        <is>
          <t xml:space="preserve">2b. ዞን/ክፍለ ከተማ (Zone/K-Ketema) </t>
        </is>
      </c>
      <c r="E6" s="126" t="inlineStr">
        <is>
          <t xml:space="preserve">4. የግብር ሒሳብ ቁጥር (Tax Account Number) </t>
        </is>
      </c>
      <c r="F6" s="174" t="n"/>
      <c r="G6" s="175" t="n"/>
      <c r="H6" s="126" t="inlineStr">
        <is>
          <t xml:space="preserve">5. የግብር ሰብሳቢ ቅርንጫፍ ጽ/ቤት ስም (Tax Center) </t>
        </is>
      </c>
      <c r="I6" s="175" t="n"/>
      <c r="J6" s="177" t="inlineStr">
        <is>
          <t xml:space="preserve">የሰነድ ቁጥር (ለቢሮ አገልግሎት ብቻ) Document Number (Official Use Only)  </t>
        </is>
      </c>
      <c r="K6" s="174" t="n"/>
      <c r="L6" s="175" t="n"/>
    </row>
    <row r="7" ht="39" customFormat="1" customHeight="1" s="74">
      <c r="B7" s="126" t="inlineStr">
        <is>
          <t xml:space="preserve">2c. ወረዳ (Woreda) </t>
        </is>
      </c>
      <c r="C7" s="175" t="n"/>
      <c r="D7" s="42" t="inlineStr">
        <is>
          <t xml:space="preserve">2d. ክፍለ ከተማ/ ቀበሌ/ ገበሬ ማህበር (Kebele/Farmers Association) </t>
        </is>
      </c>
      <c r="E7" s="126" t="inlineStr">
        <is>
          <t>2e. የቤት ቁጥር (House Number)</t>
        </is>
      </c>
      <c r="F7" s="175" t="n"/>
      <c r="G7" s="178" t="inlineStr">
        <is>
          <t xml:space="preserve">6. ስልክ ቁጥር (Telephone Number) </t>
        </is>
      </c>
      <c r="H7" s="175" t="n"/>
      <c r="I7" s="41" t="n"/>
      <c r="J7" s="126" t="inlineStr">
        <is>
          <t xml:space="preserve">7a ኢ-ሜይል አድራሻ E-Mail Address </t>
        </is>
      </c>
      <c r="K7" s="175" t="n"/>
      <c r="L7" s="42" t="inlineStr">
        <is>
          <t xml:space="preserve">7b ፋክስ ቁጥር Fax Number </t>
        </is>
      </c>
    </row>
    <row r="8" ht="31.5" customHeight="1" s="67">
      <c r="B8" s="117" t="inlineStr">
        <is>
          <t>ክፍል 2 የታክስ ማስታወቂያ (Section 2 – Tax Declaration)</t>
        </is>
      </c>
      <c r="I8" s="117" t="n"/>
      <c r="J8" s="117" t="n"/>
      <c r="K8" s="117" t="n"/>
      <c r="L8" s="117" t="n"/>
    </row>
    <row r="9" ht="21" customHeight="1" s="67">
      <c r="E9" s="137" t="inlineStr">
        <is>
          <t>በእያንዳንዱ የንግድ ዘርፍ የሚሞላ</t>
        </is>
      </c>
      <c r="F9" s="174" t="n"/>
      <c r="G9" s="174" t="n"/>
      <c r="H9" s="174" t="n"/>
      <c r="I9" s="174" t="n"/>
      <c r="J9" s="174" t="n"/>
      <c r="K9" s="174" t="n"/>
      <c r="L9" s="174" t="n"/>
      <c r="M9" s="175" t="n"/>
    </row>
    <row r="10" ht="34.5" customHeight="1" s="67">
      <c r="B10" s="138" t="inlineStr">
        <is>
          <t>No</t>
        </is>
      </c>
      <c r="C10" s="139" t="inlineStr">
        <is>
          <t>መግለጫ 
(Description)</t>
        </is>
      </c>
      <c r="D10" s="179" t="n"/>
      <c r="E10" s="139" t="inlineStr">
        <is>
          <t>የንግድ ስራ ፈቃድ ቁጥር Bus lice. No</t>
        </is>
      </c>
      <c r="F10" s="180" t="n">
        <v>1</v>
      </c>
      <c r="G10" s="181" t="n">
        <v>2</v>
      </c>
      <c r="H10" s="180" t="n">
        <v>3</v>
      </c>
      <c r="I10" s="181" t="n">
        <v>4</v>
      </c>
      <c r="J10" s="180" t="n">
        <v>5</v>
      </c>
      <c r="K10" s="181" t="n">
        <v>6</v>
      </c>
      <c r="L10" s="181" t="n">
        <v>7</v>
      </c>
      <c r="M10" s="182" t="inlineStr">
        <is>
          <t>Total</t>
        </is>
      </c>
    </row>
    <row r="11" ht="48.75" customFormat="1" customHeight="1" s="3">
      <c r="B11" s="183" t="n"/>
      <c r="C11" s="184" t="n"/>
      <c r="D11" s="173" t="n"/>
      <c r="E11" s="139" t="inlineStr">
        <is>
          <t xml:space="preserve"> የንግድ ስራ መስክ ኮድ( ባለ 5 አሃዝ) Business Licence Code</t>
        </is>
      </c>
      <c r="F11" s="26" t="n"/>
      <c r="G11" s="27" t="n"/>
      <c r="H11" s="27" t="n"/>
      <c r="I11" s="27" t="n"/>
      <c r="J11" s="27" t="n"/>
      <c r="K11" s="27" t="n"/>
      <c r="L11" s="27" t="n"/>
      <c r="M11" s="183" t="n"/>
    </row>
    <row r="12" ht="34.5" customHeight="1" s="67">
      <c r="B12" s="183" t="n"/>
      <c r="C12" s="184" t="n"/>
      <c r="D12" s="173" t="n"/>
      <c r="E12" s="14" t="inlineStr">
        <is>
          <t>Esic Description</t>
        </is>
      </c>
      <c r="F12" s="185" t="n"/>
      <c r="G12" s="186" t="n"/>
      <c r="H12" s="186" t="n"/>
      <c r="I12" s="186" t="n"/>
      <c r="J12" s="186" t="n"/>
      <c r="K12" s="186" t="n"/>
      <c r="L12" s="186" t="n"/>
      <c r="M12" s="183" t="n"/>
    </row>
    <row r="13" ht="36" customHeight="1" s="67">
      <c r="B13" s="187" t="n"/>
      <c r="C13" s="188" t="n"/>
      <c r="D13" s="189" t="n"/>
      <c r="E13" s="15" t="inlineStr">
        <is>
          <t>መስመር ቁ.ር 
Line No</t>
        </is>
      </c>
      <c r="F13" s="185" t="n"/>
      <c r="G13" s="174" t="n"/>
      <c r="H13" s="174" t="n"/>
      <c r="I13" s="174" t="n"/>
      <c r="J13" s="174" t="n"/>
      <c r="K13" s="174" t="n"/>
      <c r="L13" s="175" t="n"/>
      <c r="M13" s="187" t="n"/>
    </row>
    <row r="14" ht="36.75" customHeight="1" s="67">
      <c r="B14" s="5" t="n">
        <v>1</v>
      </c>
      <c r="C14" s="6" t="inlineStr">
        <is>
          <t xml:space="preserve"> በግብር አመቱ ከተከናወነ የዕቃ ሽያጭ / አገልግሎት  የተገኘ ኮሚሽን የማይከፈልበት ጠቅላላ  ገቢ </t>
        </is>
      </c>
      <c r="D14" s="7" t="inlineStr">
        <is>
          <t xml:space="preserve"> Total income from all sources of business income of a body or a person goods supplied/services rendered in the tax year</t>
        </is>
      </c>
      <c r="E14" s="5" t="n">
        <v>5</v>
      </c>
      <c r="F14" s="190" t="n"/>
      <c r="G14" s="191" t="n"/>
      <c r="H14" s="191" t="n"/>
      <c r="I14" s="191" t="n"/>
      <c r="J14" s="191" t="n"/>
      <c r="K14" s="191" t="n"/>
      <c r="L14" s="191" t="n"/>
      <c r="M14" s="192">
        <f>SUM(F14:L14)</f>
        <v/>
      </c>
    </row>
    <row r="15" ht="44.25" customHeight="1" s="67">
      <c r="B15" s="5" t="n">
        <v>2</v>
      </c>
      <c r="C15" s="6" t="inlineStr">
        <is>
          <t xml:space="preserve">በህግ ወይም በተዋዋዮች መካከል በተደረገ ዉልና ዋጋቸዉ በመንግስት አካል በሚወሰን/ቁጥጥር ከሚደረግባቸዉ ስራዎች የተገኘ ኮሚሽን የሚሰላበት ጠቅላላ ገቢ </t>
        </is>
      </c>
      <c r="D15" s="7" t="inlineStr">
        <is>
          <t xml:space="preserve"> Total income from all sources of business income of a body or a person goods supplied/services rendered in the tax year Non taxable from Operating Income</t>
        </is>
      </c>
      <c r="E15" s="5" t="n">
        <v>10</v>
      </c>
      <c r="F15" s="190" t="n"/>
      <c r="G15" s="191" t="n"/>
      <c r="H15" s="191" t="n"/>
      <c r="I15" s="191" t="n"/>
      <c r="J15" s="191" t="n"/>
      <c r="K15" s="191" t="n"/>
      <c r="L15" s="191" t="n"/>
      <c r="M15" s="192">
        <f>SUM(F15:L15)</f>
        <v/>
      </c>
    </row>
    <row r="16" ht="33" customHeight="1" s="67">
      <c r="B16" s="5" t="n">
        <v>3</v>
      </c>
      <c r="C16" s="6" t="inlineStr">
        <is>
          <t xml:space="preserve">በህግ ወይም ተዋዋዮች መካከል በተደረገ ዉል መሰረት አገልግሎት ሰጪዉ ያገኘዉ ጠቅላላ የኮሚሽን ገቢ </t>
        </is>
      </c>
      <c r="D16" s="7" t="inlineStr">
        <is>
          <t xml:space="preserve">Commission Income </t>
        </is>
      </c>
      <c r="E16" s="5" t="n">
        <v>15</v>
      </c>
      <c r="F16" s="190" t="n"/>
      <c r="G16" s="191" t="n"/>
      <c r="H16" s="191" t="n"/>
      <c r="I16" s="191" t="n"/>
      <c r="J16" s="191" t="n"/>
      <c r="K16" s="191" t="n"/>
      <c r="L16" s="191" t="n"/>
      <c r="M16" s="192">
        <f>SUM(F16:L16)</f>
        <v/>
      </c>
    </row>
    <row r="17" ht="33" customHeight="1" s="67">
      <c r="B17" s="5" t="n">
        <v>4</v>
      </c>
      <c r="C17" s="6" t="inlineStr">
        <is>
          <t>ዋጋቸዉ በዉል/በመንግስት አካል ከተወሰነ/ቁጥጥር ከሚደረግበት ስራ የተገኘ  ጠቅላላ የኮሚሽን ገቢ</t>
        </is>
      </c>
      <c r="D17" s="7" t="inlineStr">
        <is>
          <t xml:space="preserve">Commission Income, in the case of a price-regulated company/person  </t>
        </is>
      </c>
      <c r="E17" s="5" t="n">
        <v>20</v>
      </c>
      <c r="F17" s="190" t="n"/>
      <c r="G17" s="191" t="n"/>
      <c r="H17" s="191" t="n"/>
      <c r="I17" s="191" t="n"/>
      <c r="J17" s="191" t="n"/>
      <c r="K17" s="191" t="n"/>
      <c r="L17" s="191" t="n"/>
      <c r="M17" s="192">
        <f>SUM(F17:L17)</f>
        <v/>
      </c>
    </row>
    <row r="18" ht="33" customHeight="1" s="67">
      <c r="B18" s="5" t="n">
        <v>5</v>
      </c>
      <c r="C18" s="6" t="inlineStr">
        <is>
          <t xml:space="preserve"> ከገቢ ግብር እፎይታ ከተሰጠው የተገኘ የንግድ ስራ ገቢ/ሽያጭ/የአገልግሎት ገቢ </t>
        </is>
      </c>
      <c r="D18" s="7" t="inlineStr">
        <is>
          <t>Business Income  from Tax-Holiday Granted Sector/s  if any</t>
        </is>
      </c>
      <c r="E18" s="5" t="n">
        <v>25</v>
      </c>
      <c r="F18" s="190" t="n"/>
      <c r="G18" s="191" t="n"/>
      <c r="H18" s="191" t="n"/>
      <c r="I18" s="191" t="n"/>
      <c r="J18" s="191" t="n"/>
      <c r="K18" s="191" t="n"/>
      <c r="L18" s="191" t="n"/>
      <c r="M18" s="192">
        <f>SUM(F18:L18)</f>
        <v/>
      </c>
    </row>
    <row r="19" ht="45.75" customHeight="1" s="67">
      <c r="B19" s="5" t="n">
        <v>6</v>
      </c>
      <c r="C19" s="6" t="inlineStr">
        <is>
          <t xml:space="preserve">በሀገራት የሁለትዮሽና በሶስትዮሽ ስምምነት መሰረት ግብር የማይከፈልበት ገቢ 
</t>
        </is>
      </c>
      <c r="D19" s="7" t="inlineStr">
        <is>
          <t>Revenue from Foreign Gov't having Bilateral Agreement if any</t>
        </is>
      </c>
      <c r="E19" s="5" t="n">
        <v>30</v>
      </c>
      <c r="F19" s="190" t="n"/>
      <c r="G19" s="191" t="n"/>
      <c r="H19" s="191" t="n"/>
      <c r="I19" s="191" t="n"/>
      <c r="J19" s="191" t="n"/>
      <c r="K19" s="191" t="n"/>
      <c r="L19" s="191" t="n"/>
      <c r="M19" s="192">
        <f>SUM(F19:L19)</f>
        <v/>
      </c>
    </row>
    <row r="20" ht="30" customHeight="1" s="67">
      <c r="B20" s="5" t="n">
        <v>7</v>
      </c>
      <c r="C20" s="6" t="inlineStr">
        <is>
          <t xml:space="preserve">በህግ የተፈቀደ እና አማራጭ አነስተኛ ግብር የማይመለከተዉ ገቢ </t>
        </is>
      </c>
      <c r="D20" s="7" t="inlineStr">
        <is>
          <t xml:space="preserve">Exempted from minimum alternative tax  </t>
        </is>
      </c>
      <c r="E20" s="36" t="n">
        <v>35</v>
      </c>
      <c r="F20" s="190" t="n"/>
      <c r="G20" s="191" t="n"/>
      <c r="H20" s="191" t="n"/>
      <c r="I20" s="191" t="n"/>
      <c r="J20" s="191" t="n"/>
      <c r="K20" s="191" t="n"/>
      <c r="L20" s="191" t="n"/>
      <c r="M20" s="192">
        <f>SUM(F20:L20)</f>
        <v/>
      </c>
    </row>
    <row r="21" ht="30" customHeight="1" s="67">
      <c r="B21" s="5" t="n">
        <v>8</v>
      </c>
      <c r="C21" s="6" t="inlineStr">
        <is>
          <t xml:space="preserve">ታክስ የሚከፈልበት ሌሎች ገቢዎች </t>
        </is>
      </c>
      <c r="D21" s="7" t="inlineStr">
        <is>
          <t xml:space="preserve">Taxable Income from Non Operating and other Income </t>
        </is>
      </c>
      <c r="E21" s="5" t="n">
        <v>40</v>
      </c>
      <c r="F21" s="190" t="n"/>
      <c r="G21" s="191" t="n"/>
      <c r="H21" s="191" t="n"/>
      <c r="I21" s="191" t="n"/>
      <c r="J21" s="191" t="n"/>
      <c r="K21" s="191" t="n"/>
      <c r="L21" s="191" t="n"/>
      <c r="M21" s="192">
        <f>SUM(F21:L21)</f>
        <v/>
      </c>
    </row>
    <row r="22" ht="30" customHeight="1" s="67">
      <c r="B22" s="5" t="n">
        <v>9</v>
      </c>
      <c r="C22" s="6" t="inlineStr">
        <is>
          <t xml:space="preserve">ታክስ የማይከፈልባቸዉ የሠንጠረዥ "መ" ገቢዎች እና ሌሎች ገቢዎች </t>
        </is>
      </c>
      <c r="D22" s="7" t="inlineStr">
        <is>
          <t xml:space="preserve">Non Taxable Income from Schedule "D" other Income  </t>
        </is>
      </c>
      <c r="E22" s="5" t="n">
        <v>45</v>
      </c>
      <c r="F22" s="190" t="n"/>
      <c r="G22" s="191" t="n"/>
      <c r="H22" s="191" t="n"/>
      <c r="I22" s="191" t="n"/>
      <c r="J22" s="191" t="n"/>
      <c r="K22" s="191" t="n"/>
      <c r="L22" s="191" t="n"/>
      <c r="M22" s="192">
        <f>SUM(F22:L22)</f>
        <v/>
      </c>
    </row>
    <row r="23" ht="44.25" customHeight="1" s="67">
      <c r="B23" s="5" t="n">
        <v>10</v>
      </c>
      <c r="C23" s="25" t="inlineStr">
        <is>
          <t xml:space="preserve">ከዕቃ ሽያጭ /እና አገልግሎት  የተገኘ ጠቅላላ ገቢ  (ከመስመር 5 እስከ 45 ያለ ድምር  </t>
        </is>
      </c>
      <c r="D23" s="9" t="inlineStr">
        <is>
          <t xml:space="preserve">Business Income or Sales/Turnover of Annual Gross Receipt From all Sources Total (add Line 5 through Line 45) </t>
        </is>
      </c>
      <c r="E23" s="5" t="n">
        <v>50</v>
      </c>
      <c r="F23" s="193">
        <f>SUM(F14:F22)</f>
        <v/>
      </c>
      <c r="G23" s="193">
        <f>SUM(G14:G22)</f>
        <v/>
      </c>
      <c r="H23" s="193">
        <f>SUM(H14:H22)</f>
        <v/>
      </c>
      <c r="I23" s="193">
        <f>SUM(I14:I22)</f>
        <v/>
      </c>
      <c r="J23" s="193">
        <f>SUM(J14:J22)</f>
        <v/>
      </c>
      <c r="K23" s="193">
        <f>SUM(K14:K22)</f>
        <v/>
      </c>
      <c r="L23" s="193">
        <f>SUM(L14:L22)</f>
        <v/>
      </c>
      <c r="M23" s="192">
        <f>SUM(F23:L23)</f>
        <v/>
      </c>
    </row>
    <row r="24" ht="36" customHeight="1" s="67">
      <c r="B24" s="5" t="n">
        <v>11</v>
      </c>
      <c r="C24" s="25" t="inlineStr">
        <is>
          <t>ለንግድ ትርፍ ግብር የስሌት መነሻ የሚሆን ጠቅላላ ገቢ (የመስመር 5+10+15+20+35+40 ድምር)</t>
        </is>
      </c>
      <c r="D24" s="10" t="n"/>
      <c r="E24" s="5" t="n">
        <v>55</v>
      </c>
      <c r="F24" s="193">
        <f>+F14+F15+F16+F17+F20+F21</f>
        <v/>
      </c>
      <c r="G24" s="193">
        <f>+G14+G15+G16+G17+G20+G21</f>
        <v/>
      </c>
      <c r="H24" s="193">
        <f>+H14+H15+H16+H17+H20+H21</f>
        <v/>
      </c>
      <c r="I24" s="193">
        <f>+I14+I15+I16+I17+I20+I21</f>
        <v/>
      </c>
      <c r="J24" s="193">
        <f>+J14+J15+J16+J17+J20+J21</f>
        <v/>
      </c>
      <c r="K24" s="193">
        <f>+K14+K15+K16+K17+K20+K21</f>
        <v/>
      </c>
      <c r="L24" s="193">
        <f>+L14+L15+L16+L17+L20+L21</f>
        <v/>
      </c>
      <c r="M24" s="192">
        <f>SUM(F24:L24)</f>
        <v/>
      </c>
    </row>
    <row r="25" ht="36" customHeight="1" s="67">
      <c r="B25" s="5" t="n">
        <v>12</v>
      </c>
      <c r="C25" s="25" t="inlineStr">
        <is>
          <t>ለአማራጭ አነስተኛ ግብር የስሌት መነሻ የሚሆን ጠቅላላ ገቢዎች  (የመስመር 5+15+20+40 ድምር)</t>
        </is>
      </c>
      <c r="D25" s="10" t="n"/>
      <c r="E25" s="5" t="n">
        <v>60</v>
      </c>
      <c r="F25" s="193">
        <f>+F14+F16+F17+F21</f>
        <v/>
      </c>
      <c r="G25" s="193">
        <f>+G14+G16+G17+G21</f>
        <v/>
      </c>
      <c r="H25" s="193">
        <f>+H14+H16+H17+H21</f>
        <v/>
      </c>
      <c r="I25" s="193">
        <f>+I14+I16+I17+I21</f>
        <v/>
      </c>
      <c r="J25" s="193">
        <f>+J14+J16+J17+J21</f>
        <v/>
      </c>
      <c r="K25" s="193">
        <f>+K14+K16+K17+K21</f>
        <v/>
      </c>
      <c r="L25" s="193">
        <f>+L14+L16+L17+L21</f>
        <v/>
      </c>
      <c r="M25" s="192">
        <f>SUM(F25:L25)</f>
        <v/>
      </c>
    </row>
    <row r="26" ht="28.5" customHeight="1" s="67">
      <c r="B26" s="5" t="n">
        <v>13</v>
      </c>
      <c r="C26" s="6" t="inlineStr">
        <is>
          <t xml:space="preserve">የተሸጡ ዕቃዎች ወይም/እና አገልግሎት ዋጋ </t>
        </is>
      </c>
      <c r="D26" s="7" t="inlineStr">
        <is>
          <t xml:space="preserve">Cost of Goods sold/Direct Cost of Service </t>
        </is>
      </c>
      <c r="E26" s="5" t="n">
        <v>65</v>
      </c>
      <c r="F26" s="190" t="n"/>
      <c r="G26" s="190" t="n"/>
      <c r="H26" s="190" t="n"/>
      <c r="I26" s="190" t="n"/>
      <c r="J26" s="190" t="n"/>
      <c r="K26" s="190" t="n"/>
      <c r="L26" s="190" t="n"/>
      <c r="M26" s="192">
        <f>SUM(F26:L26)</f>
        <v/>
      </c>
    </row>
    <row r="27" ht="28.5" customHeight="1" s="67">
      <c r="B27" s="5" t="n">
        <v>14</v>
      </c>
      <c r="C27" s="6" t="inlineStr">
        <is>
          <t xml:space="preserve">ያልተጣራ ትርፍ/ኪሳራ (መስመር 55 -መስመር 65)       
</t>
        </is>
      </c>
      <c r="D27" s="7" t="inlineStr">
        <is>
          <t>Gross Profit/Loss (Line 55 Minus Line 65)</t>
        </is>
      </c>
      <c r="E27" s="5" t="n">
        <v>70</v>
      </c>
      <c r="F27" s="193">
        <f>+F24-F26</f>
        <v/>
      </c>
      <c r="G27" s="193">
        <f>+G24-G26</f>
        <v/>
      </c>
      <c r="H27" s="193">
        <f>+H24-H26</f>
        <v/>
      </c>
      <c r="I27" s="193">
        <f>+I24-I26</f>
        <v/>
      </c>
      <c r="J27" s="193">
        <f>+J24-J26</f>
        <v/>
      </c>
      <c r="K27" s="193">
        <f>+K24-K26</f>
        <v/>
      </c>
      <c r="L27" s="193">
        <f>+L24-L26</f>
        <v/>
      </c>
      <c r="M27" s="192">
        <f>SUM(F27:L27)</f>
        <v/>
      </c>
    </row>
    <row r="28" ht="28.5" customHeight="1" s="67">
      <c r="B28" s="5" t="n">
        <v>15</v>
      </c>
      <c r="C28" s="6" t="inlineStr">
        <is>
          <t xml:space="preserve">የሽያጭና የማከፋፈያ ወጪ </t>
        </is>
      </c>
      <c r="D28" s="7" t="inlineStr">
        <is>
          <t xml:space="preserve">Selling &amp; Distribution Expenses </t>
        </is>
      </c>
      <c r="E28" s="5" t="n">
        <v>75</v>
      </c>
      <c r="F28" s="194" t="n"/>
      <c r="G28" s="191" t="n"/>
      <c r="H28" s="191" t="n"/>
      <c r="I28" s="191" t="n"/>
      <c r="J28" s="191" t="n"/>
      <c r="K28" s="191" t="n"/>
      <c r="L28" s="191" t="n"/>
      <c r="M28" s="192">
        <f>SUM(F28:L28)</f>
        <v/>
      </c>
    </row>
    <row r="29" ht="28.5" customHeight="1" s="67">
      <c r="B29" s="5" t="n">
        <v>16</v>
      </c>
      <c r="C29" s="6" t="inlineStr">
        <is>
          <t xml:space="preserve">የሰራተኛ ደመወዝ እና የጉልበት ወጪዎች      
</t>
        </is>
      </c>
      <c r="D29" s="7" t="inlineStr">
        <is>
          <t>Salary and Wages</t>
        </is>
      </c>
      <c r="E29" s="5" t="n">
        <v>80</v>
      </c>
      <c r="F29" s="194" t="n"/>
      <c r="G29" s="191" t="n"/>
      <c r="H29" s="191" t="n"/>
      <c r="I29" s="191" t="n"/>
      <c r="J29" s="191" t="n"/>
      <c r="K29" s="191" t="n"/>
      <c r="L29" s="191" t="n"/>
      <c r="M29" s="192">
        <f>SUM(F29:L29)</f>
        <v/>
      </c>
    </row>
    <row r="30" ht="28.5" customHeight="1" s="67">
      <c r="B30" s="5" t="n">
        <v>17</v>
      </c>
      <c r="C30" s="6" t="inlineStr">
        <is>
          <t xml:space="preserve">ሌሎች የሰራተኛ ወጪዎች </t>
        </is>
      </c>
      <c r="D30" s="7" t="inlineStr">
        <is>
          <t xml:space="preserve">Other Employee Benefits </t>
        </is>
      </c>
      <c r="E30" s="5" t="n">
        <v>85</v>
      </c>
      <c r="F30" s="194" t="n"/>
      <c r="G30" s="191" t="n"/>
      <c r="H30" s="191" t="n"/>
      <c r="I30" s="191" t="n"/>
      <c r="J30" s="191" t="n"/>
      <c r="K30" s="191" t="n"/>
      <c r="L30" s="191" t="n"/>
      <c r="M30" s="192">
        <f>SUM(F30:L30)</f>
        <v/>
      </c>
    </row>
    <row r="31" ht="28.5" customHeight="1" s="67">
      <c r="B31" s="5" t="n">
        <v>18</v>
      </c>
      <c r="C31" s="6" t="inlineStr">
        <is>
          <t xml:space="preserve">የጥገና ወጪዎች      
</t>
        </is>
      </c>
      <c r="D31" s="7" t="inlineStr">
        <is>
          <t>Repair and Maintenance Expenses</t>
        </is>
      </c>
      <c r="E31" s="5" t="n">
        <v>90</v>
      </c>
      <c r="F31" s="194" t="n"/>
      <c r="G31" s="191" t="n"/>
      <c r="H31" s="191" t="n"/>
      <c r="I31" s="191" t="n"/>
      <c r="J31" s="191" t="n"/>
      <c r="K31" s="191" t="n"/>
      <c r="L31" s="191" t="n"/>
      <c r="M31" s="192">
        <f>SUM(F31:L31)</f>
        <v/>
      </c>
    </row>
    <row r="32" ht="28.5" customHeight="1" s="67">
      <c r="B32" s="5" t="n">
        <v>19</v>
      </c>
      <c r="C32" s="6" t="inlineStr">
        <is>
          <t xml:space="preserve">ተቀናሽ የሚደረግ የኢንቨስትመንት /የካፒታል ተሳትፎ/ </t>
        </is>
      </c>
      <c r="D32" s="7" t="inlineStr">
        <is>
          <t xml:space="preserve">Investment/Participation Expenses </t>
        </is>
      </c>
      <c r="E32" s="5" t="n">
        <v>95</v>
      </c>
      <c r="F32" s="194" t="n"/>
      <c r="G32" s="191" t="n"/>
      <c r="H32" s="191" t="n"/>
      <c r="I32" s="191" t="n"/>
      <c r="J32" s="191" t="n"/>
      <c r="K32" s="191" t="n"/>
      <c r="L32" s="191" t="n"/>
      <c r="M32" s="192">
        <f>SUM(F32:L32)</f>
        <v/>
      </c>
    </row>
    <row r="33" ht="28.5" customHeight="1" s="67">
      <c r="B33" s="5" t="n">
        <v>20</v>
      </c>
      <c r="C33" s="6" t="inlineStr">
        <is>
          <t xml:space="preserve">ውጭ አገር የተከፈለ የቴክኒክ አገልግሎት ክፍያ     
</t>
        </is>
      </c>
      <c r="D33" s="7" t="inlineStr">
        <is>
          <t>Foreign Technical Service Expenses</t>
        </is>
      </c>
      <c r="E33" s="5" t="n">
        <v>100</v>
      </c>
      <c r="F33" s="194" t="n"/>
      <c r="G33" s="191" t="n"/>
      <c r="H33" s="191" t="n"/>
      <c r="I33" s="191" t="n"/>
      <c r="J33" s="191" t="n"/>
      <c r="K33" s="191" t="n"/>
      <c r="L33" s="191" t="n"/>
      <c r="M33" s="192">
        <f>SUM(F33:L33)</f>
        <v/>
      </c>
    </row>
    <row r="34" ht="28.5" customHeight="1" s="67">
      <c r="B34" s="5" t="n">
        <v>21</v>
      </c>
      <c r="C34" s="6" t="inlineStr">
        <is>
          <t xml:space="preserve">የስልክ፣ የውሃ እና መብራት ወጪዎች    
</t>
        </is>
      </c>
      <c r="D34" s="7" t="inlineStr">
        <is>
          <t>Utilities Expenses</t>
        </is>
      </c>
      <c r="E34" s="5" t="n">
        <v>105</v>
      </c>
      <c r="F34" s="194" t="n"/>
      <c r="G34" s="191" t="n"/>
      <c r="H34" s="191" t="n"/>
      <c r="I34" s="191" t="n"/>
      <c r="J34" s="191" t="n"/>
      <c r="K34" s="191" t="n"/>
      <c r="L34" s="191" t="n"/>
      <c r="M34" s="192">
        <f>SUM(F34:L34)</f>
        <v/>
      </c>
    </row>
    <row r="35" ht="28.5" customHeight="1" s="67">
      <c r="B35" s="5" t="n">
        <v>22</v>
      </c>
      <c r="C35" s="6" t="inlineStr">
        <is>
          <t xml:space="preserve">የመጓጓዣ እና ተጓዳኝ ወጪዎች   
</t>
        </is>
      </c>
      <c r="D35" s="7" t="inlineStr">
        <is>
          <t>Travel Expenses</t>
        </is>
      </c>
      <c r="E35" s="5" t="n">
        <v>110</v>
      </c>
      <c r="F35" s="194" t="n"/>
      <c r="G35" s="191" t="n"/>
      <c r="H35" s="191" t="n"/>
      <c r="I35" s="191" t="n"/>
      <c r="J35" s="191" t="n"/>
      <c r="K35" s="191" t="n"/>
      <c r="L35" s="191" t="n"/>
      <c r="M35" s="192">
        <f>SUM(F35:L35)</f>
        <v/>
      </c>
    </row>
    <row r="36" ht="28.5" customHeight="1" s="67">
      <c r="B36" s="5" t="n">
        <v>23</v>
      </c>
      <c r="C36" s="6" t="inlineStr">
        <is>
          <t xml:space="preserve">የኪራይ ወጪዎች    
</t>
        </is>
      </c>
      <c r="D36" s="7" t="inlineStr">
        <is>
          <t>Rent Expenses</t>
        </is>
      </c>
      <c r="E36" s="5" t="n">
        <v>115</v>
      </c>
      <c r="F36" s="194" t="n"/>
      <c r="G36" s="191" t="n"/>
      <c r="H36" s="191" t="n"/>
      <c r="I36" s="191" t="n"/>
      <c r="J36" s="191" t="n"/>
      <c r="K36" s="191" t="n"/>
      <c r="L36" s="191" t="n"/>
      <c r="M36" s="192">
        <f>SUM(F36:L36)</f>
        <v/>
      </c>
    </row>
    <row r="37" ht="28.5" customHeight="1" s="67">
      <c r="B37" s="5" t="n">
        <v>24</v>
      </c>
      <c r="C37" s="6" t="inlineStr">
        <is>
          <t xml:space="preserve">የወለድ ወጪዎች 
</t>
        </is>
      </c>
      <c r="D37" s="7" t="inlineStr">
        <is>
          <t>Interest Expenses</t>
        </is>
      </c>
      <c r="E37" s="5" t="n">
        <v>120</v>
      </c>
      <c r="F37" s="194" t="n"/>
      <c r="G37" s="191" t="n"/>
      <c r="H37" s="191" t="n"/>
      <c r="I37" s="191" t="n"/>
      <c r="J37" s="191" t="n"/>
      <c r="K37" s="191" t="n"/>
      <c r="L37" s="191" t="n"/>
      <c r="M37" s="192">
        <f>SUM(F37:L37)</f>
        <v/>
      </c>
    </row>
    <row r="38" ht="28.5" customHeight="1" s="67">
      <c r="B38" s="5" t="n">
        <v>25</v>
      </c>
      <c r="C38" s="6" t="inlineStr">
        <is>
          <t xml:space="preserve">የእርጅና ቅናሽ ወጪዎች /ለቋሚ ንብረቶች/  
</t>
        </is>
      </c>
      <c r="D38" s="7" t="inlineStr">
        <is>
          <t>Depreciation Expenses</t>
        </is>
      </c>
      <c r="E38" s="5" t="n">
        <v>125</v>
      </c>
      <c r="F38" s="194" t="n"/>
      <c r="G38" s="191" t="n"/>
      <c r="H38" s="191" t="n"/>
      <c r="I38" s="191" t="n"/>
      <c r="J38" s="191" t="n"/>
      <c r="K38" s="191" t="n"/>
      <c r="L38" s="191" t="n"/>
      <c r="M38" s="192">
        <f>SUM(F38:L38)</f>
        <v/>
      </c>
    </row>
    <row r="39" ht="28.5" customHeight="1" s="67">
      <c r="B39" s="5" t="n">
        <v>26</v>
      </c>
      <c r="C39" s="6" t="inlineStr">
        <is>
          <t xml:space="preserve">የእርጅና ቅናሽ ወጪዎች ግዙፋዊ ህልዎት ለሌላቸው ሀብቶች   
</t>
        </is>
      </c>
      <c r="D39" s="7" t="inlineStr">
        <is>
          <t>Amortization Expenses</t>
        </is>
      </c>
      <c r="E39" s="5" t="n">
        <v>130</v>
      </c>
      <c r="F39" s="194" t="n"/>
      <c r="G39" s="191" t="n"/>
      <c r="H39" s="191" t="n"/>
      <c r="I39" s="191" t="n"/>
      <c r="J39" s="191" t="n"/>
      <c r="K39" s="191" t="n"/>
      <c r="L39" s="191" t="n"/>
      <c r="M39" s="192">
        <f>SUM(F39:L39)</f>
        <v/>
      </c>
    </row>
    <row r="40" ht="28.5" customHeight="1" s="67">
      <c r="B40" s="5" t="n">
        <v>27</v>
      </c>
      <c r="C40" s="6" t="inlineStr">
        <is>
          <t xml:space="preserve">ተቀናሽ የሚሆን የንግድ ፈቃድና ሌሎች ክፍያዎች      
</t>
        </is>
      </c>
      <c r="D40" s="7" t="inlineStr">
        <is>
          <t>Deductible Taxes and License Fees</t>
        </is>
      </c>
      <c r="E40" s="5" t="n">
        <v>135</v>
      </c>
      <c r="F40" s="194" t="n"/>
      <c r="G40" s="191" t="n"/>
      <c r="H40" s="191" t="n"/>
      <c r="I40" s="191" t="n"/>
      <c r="J40" s="191" t="n"/>
      <c r="K40" s="191" t="n"/>
      <c r="L40" s="191" t="n"/>
      <c r="M40" s="192">
        <f>SUM(F40:L40)</f>
        <v/>
      </c>
    </row>
    <row r="41" ht="28.5" customHeight="1" s="67">
      <c r="B41" s="5" t="n">
        <v>28</v>
      </c>
      <c r="C41" s="6" t="inlineStr">
        <is>
          <t xml:space="preserve">ተቀናሽ የሚሆን እርዳታና ስጦታ   
</t>
        </is>
      </c>
      <c r="D41" s="7" t="inlineStr">
        <is>
          <t>Dedutible Donations and Gifts</t>
        </is>
      </c>
      <c r="E41" s="5" t="n">
        <v>140</v>
      </c>
      <c r="F41" s="194" t="n"/>
      <c r="G41" s="191" t="n"/>
      <c r="H41" s="191" t="n"/>
      <c r="I41" s="191" t="n"/>
      <c r="J41" s="191" t="n"/>
      <c r="K41" s="191" t="n"/>
      <c r="L41" s="191" t="n"/>
      <c r="M41" s="192">
        <f>SUM(F41:L41)</f>
        <v/>
      </c>
    </row>
    <row r="42" ht="28.5" customHeight="1" s="67">
      <c r="B42" s="5" t="n">
        <v>29</v>
      </c>
      <c r="C42" s="6" t="inlineStr">
        <is>
          <t>ሌሎች አስተዳደራዊ ወጪዎች</t>
        </is>
      </c>
      <c r="D42" s="7" t="inlineStr">
        <is>
          <t xml:space="preserve">Other expenses </t>
        </is>
      </c>
      <c r="E42" s="5" t="n">
        <v>145</v>
      </c>
      <c r="F42" s="194" t="n">
        <v>0</v>
      </c>
      <c r="G42" s="191" t="n"/>
      <c r="H42" s="191" t="n"/>
      <c r="I42" s="191" t="n"/>
      <c r="J42" s="191" t="n"/>
      <c r="K42" s="191" t="n"/>
      <c r="L42" s="191" t="n"/>
      <c r="M42" s="192">
        <f>SUM(F42:L42)</f>
        <v/>
      </c>
    </row>
    <row r="43" ht="38.25" customHeight="1" s="67">
      <c r="B43" s="5" t="n">
        <v>30</v>
      </c>
      <c r="C43" s="6" t="inlineStr">
        <is>
          <t xml:space="preserve">ጠቅላላ ወጪዎች    (ከመስመር 75 እስከ መስመር 145 የተዘረዘሩት ወጪዎች ድምር)   
</t>
        </is>
      </c>
      <c r="D43" s="7" t="inlineStr">
        <is>
          <t>Total Expenses (Sum Line 75 to Line 145)</t>
        </is>
      </c>
      <c r="E43" s="5" t="n">
        <v>150</v>
      </c>
      <c r="F43" s="195">
        <f>SUM(F28:F42)</f>
        <v/>
      </c>
      <c r="G43" s="195">
        <f>SUM(G28:G42)</f>
        <v/>
      </c>
      <c r="H43" s="195">
        <f>SUM(H28:H42)</f>
        <v/>
      </c>
      <c r="I43" s="195">
        <f>SUM(I28:I42)</f>
        <v/>
      </c>
      <c r="J43" s="195">
        <f>SUM(J28:J42)</f>
        <v/>
      </c>
      <c r="K43" s="195">
        <f>SUM(K28:K42)</f>
        <v/>
      </c>
      <c r="L43" s="195">
        <f>SUM(L28:L42)</f>
        <v/>
      </c>
      <c r="M43" s="192">
        <f>SUM(F43:L43)</f>
        <v/>
      </c>
    </row>
    <row r="44" ht="30.75" customHeight="1" s="67">
      <c r="B44" s="5" t="n">
        <v>31</v>
      </c>
      <c r="C44" s="6" t="inlineStr">
        <is>
          <t xml:space="preserve">የገቢ ግብር እፎይታ ከተሰጠዉ የስራ መስክ ካለ የወጪዎች ድምር  </t>
        </is>
      </c>
      <c r="D44" s="7" t="inlineStr">
        <is>
          <t xml:space="preserve">Total Expenses form exmept business sector if any </t>
        </is>
      </c>
      <c r="E44" s="5" t="n">
        <v>155</v>
      </c>
      <c r="F44" s="196" t="n"/>
      <c r="G44" s="196" t="n"/>
      <c r="H44" s="196" t="n"/>
      <c r="I44" s="196" t="n"/>
      <c r="J44" s="196" t="n"/>
      <c r="K44" s="196" t="n"/>
      <c r="L44" s="196" t="n"/>
      <c r="M44" s="192">
        <f>SUM(F44:L44)</f>
        <v/>
      </c>
    </row>
    <row r="45" ht="41.25" customHeight="1" s="67">
      <c r="B45" s="5" t="n">
        <v>32</v>
      </c>
      <c r="C45" s="6" t="inlineStr">
        <is>
          <t xml:space="preserve">ከጠቅላላ ንግድ ስራ የተጣራ ትርፍ/ኪሳራ ((መስመር 70 - (መስመር 150-መስመር  155))   
</t>
        </is>
      </c>
      <c r="D45" s="7" t="inlineStr">
        <is>
          <t>(Line 70-(line 150-line 155))</t>
        </is>
      </c>
      <c r="E45" s="5" t="n">
        <v>160</v>
      </c>
      <c r="F45" s="193">
        <f>+F27-(F43-F44)</f>
        <v/>
      </c>
      <c r="G45" s="193">
        <f>+G27-(G43-G44)</f>
        <v/>
      </c>
      <c r="H45" s="193">
        <f>+H27-(H43-H44)</f>
        <v/>
      </c>
      <c r="I45" s="193">
        <f>+I27-(I43-I44)</f>
        <v/>
      </c>
      <c r="J45" s="193">
        <f>+J27-(J43-J44)</f>
        <v/>
      </c>
      <c r="K45" s="193">
        <f>+K27-(K43-K44)</f>
        <v/>
      </c>
      <c r="L45" s="193">
        <f>+L27-(L43-L44)</f>
        <v/>
      </c>
      <c r="M45" s="192">
        <f>SUM(F45:L45)</f>
        <v/>
      </c>
    </row>
    <row r="46" ht="32.25" customHeight="1" s="67">
      <c r="B46" s="5" t="n">
        <v>33</v>
      </c>
      <c r="C46" s="6" t="inlineStr">
        <is>
          <t xml:space="preserve">ካለፈው የግብር ዘመናት የዞረ ኪሳራ </t>
        </is>
      </c>
      <c r="D46" s="7" t="inlineStr">
        <is>
          <t xml:space="preserve">Loss Carry Forward from Previous Tax Period </t>
        </is>
      </c>
      <c r="E46" s="5" t="n">
        <v>165</v>
      </c>
      <c r="F46" s="190" t="n"/>
      <c r="G46" s="191" t="n"/>
      <c r="H46" s="191" t="n"/>
      <c r="I46" s="191" t="n"/>
      <c r="J46" s="191" t="n"/>
      <c r="K46" s="191" t="n"/>
      <c r="L46" s="191" t="n"/>
      <c r="M46" s="192">
        <f>SUM(F46:L46)</f>
        <v/>
      </c>
    </row>
    <row r="47" ht="32.25" customHeight="1" s="67">
      <c r="B47" s="5" t="n">
        <v>34</v>
      </c>
      <c r="C47" s="6" t="inlineStr">
        <is>
          <t xml:space="preserve">ወደ አለፉት ግብር ዘመናት እንዲዘዋወር የተፈቀደ ኪሳራ  </t>
        </is>
      </c>
      <c r="D47" s="7" t="inlineStr">
        <is>
          <t xml:space="preserve">Carry Backward Loss Adjustment </t>
        </is>
      </c>
      <c r="E47" s="5" t="n">
        <v>170</v>
      </c>
      <c r="F47" s="190" t="n"/>
      <c r="G47" s="191" t="n"/>
      <c r="H47" s="191" t="n"/>
      <c r="I47" s="191" t="n"/>
      <c r="J47" s="191" t="n"/>
      <c r="K47" s="191" t="n"/>
      <c r="L47" s="191" t="n"/>
      <c r="M47" s="192">
        <f>SUM(F47:L47)</f>
        <v/>
      </c>
    </row>
    <row r="48" ht="39.75" customHeight="1" s="67">
      <c r="B48" s="5" t="n">
        <v>35</v>
      </c>
      <c r="C48" s="6" t="inlineStr">
        <is>
          <t xml:space="preserve">ግብር የሚከፈልበት የንግድ ስራ ገቢ (መስመር 160 -መስመር 165 -መስመር 170)  
</t>
        </is>
      </c>
      <c r="D48" s="7" t="inlineStr">
        <is>
          <t xml:space="preserve">Taxable Income </t>
        </is>
      </c>
      <c r="E48" s="5" t="n">
        <v>175</v>
      </c>
      <c r="F48" s="195">
        <f>+F45-F46-F47</f>
        <v/>
      </c>
      <c r="G48" s="195">
        <f>+G45-G46-G47</f>
        <v/>
      </c>
      <c r="H48" s="195">
        <f>+H45-H46-H47</f>
        <v/>
      </c>
      <c r="I48" s="195">
        <f>+I45-I46-I47</f>
        <v/>
      </c>
      <c r="J48" s="195">
        <f>+J45-J46-J47</f>
        <v/>
      </c>
      <c r="K48" s="195">
        <f>+K45-K46-K47</f>
        <v/>
      </c>
      <c r="L48" s="195">
        <f>+L45-L46-L47</f>
        <v/>
      </c>
      <c r="M48" s="192">
        <f>SUM(F48:L48)</f>
        <v/>
      </c>
    </row>
    <row r="49" ht="81" customHeight="1" s="67">
      <c r="B49" s="5" t="n">
        <v>36</v>
      </c>
      <c r="C49" s="114" t="inlineStr">
        <is>
          <t xml:space="preserve">በመደበኛ ተመን መከፈል ያለበት የንግድ ትርፍ ግብር ለድርጅቶች (መስመር 175*30%) 
ከአንድ ንግድ ዘርፍ በላይ ለተሰማራ ግለሰብ  ከ15-35 በመቶ  (መስመር 175*15-35 በመቶ) ሆኖ ተቀናሽ ማቀናነስ የሚችለዉ  ከፍተኛ ከሆነዉ ዘርፍ አንዴ ብቻ ነዉ </t>
        </is>
      </c>
      <c r="D49" s="116" t="inlineStr">
        <is>
          <t>Profit Income Tax Payable based on Standard Tax Rate (Line 60 * 30%)</t>
        </is>
      </c>
      <c r="E49" s="5" t="n">
        <v>180</v>
      </c>
      <c r="F49" s="193">
        <f>+F48*0.3</f>
        <v/>
      </c>
      <c r="G49" s="193">
        <f>+G48*0.3</f>
        <v/>
      </c>
      <c r="H49" s="193">
        <f>+H48*0.3</f>
        <v/>
      </c>
      <c r="I49" s="193">
        <f>+I48*0.3</f>
        <v/>
      </c>
      <c r="J49" s="193">
        <f>+J48*0.3</f>
        <v/>
      </c>
      <c r="K49" s="193">
        <f>+K48*0.3</f>
        <v/>
      </c>
      <c r="L49" s="193">
        <f>+L48*0.3</f>
        <v/>
      </c>
      <c r="M49" s="192">
        <f>SUM(F49:L49)</f>
        <v/>
      </c>
    </row>
    <row r="50" ht="45.75" customHeight="1" s="67">
      <c r="B50" s="5" t="n">
        <v>37</v>
      </c>
      <c r="C50" s="6" t="inlineStr">
        <is>
          <t xml:space="preserve">በአማራጭ አነስተኛ የግብር ተመን መሰረት የሚከፈል  የገቢ ግብር (መስመር 60*2.5%) 
</t>
        </is>
      </c>
      <c r="D50" s="116" t="inlineStr">
        <is>
          <t>Profit Income Tax Payable based on Minimum Alternative Tax Rate (Line 60 * 2.5%)</t>
        </is>
      </c>
      <c r="E50" s="5" t="n">
        <v>185</v>
      </c>
      <c r="F50" s="193">
        <f>+F25*0.025</f>
        <v/>
      </c>
      <c r="G50" s="193">
        <f>+G25*0.025</f>
        <v/>
      </c>
      <c r="H50" s="193">
        <f>+H25*0.025</f>
        <v/>
      </c>
      <c r="I50" s="193">
        <f>+I25*0.025</f>
        <v/>
      </c>
      <c r="J50" s="193">
        <f>+J25*0.025</f>
        <v/>
      </c>
      <c r="K50" s="193">
        <f>+K25*0.025</f>
        <v/>
      </c>
      <c r="L50" s="193">
        <f>+L25*0.025</f>
        <v/>
      </c>
      <c r="M50" s="192">
        <f>SUM(F50:L50)</f>
        <v/>
      </c>
    </row>
    <row r="51" ht="33.75" customHeight="1" s="67">
      <c r="B51" s="5" t="n">
        <v>38</v>
      </c>
      <c r="C51" s="6" t="inlineStr">
        <is>
          <t>የሚከፈል የትርፍ ገቢ ግብር  (ከመስመር 180 እና ከመስመር 185 የበለጠው)</t>
        </is>
      </c>
      <c r="D51" s="10" t="inlineStr">
        <is>
          <t>Profit Income Tax Payable (Maximum of Line 180 and Line 185)</t>
        </is>
      </c>
      <c r="E51" s="5" t="n">
        <v>190</v>
      </c>
      <c r="F51" s="193">
        <f>+MAX(F49,F50)</f>
        <v/>
      </c>
      <c r="G51" s="193">
        <f>+MAX(G49,G50)</f>
        <v/>
      </c>
      <c r="H51" s="193">
        <f>+MAX(H49,H50)</f>
        <v/>
      </c>
      <c r="I51" s="193">
        <f>+MAX(I49,I50)</f>
        <v/>
      </c>
      <c r="J51" s="193">
        <f>+MAX(J49,J50)</f>
        <v/>
      </c>
      <c r="K51" s="193">
        <f>+MAX(K49,K50)</f>
        <v/>
      </c>
      <c r="L51" s="193">
        <f>+MAX(L49,L50)</f>
        <v/>
      </c>
      <c r="M51" s="192">
        <f>SUM(F51:L51)</f>
        <v/>
      </c>
    </row>
    <row r="52" ht="36.75" customHeight="1" s="67">
      <c r="B52" s="5" t="n">
        <v>39</v>
      </c>
      <c r="C52" s="6" t="inlineStr">
        <is>
          <t xml:space="preserve">ከዉጪ ሀገር የተገኘ  የተጣራ የንግድ ትርፍ ግብር  
</t>
        </is>
      </c>
      <c r="D52" s="6" t="inlineStr">
        <is>
          <t xml:space="preserve">Net Foreign Income payable  </t>
        </is>
      </c>
      <c r="E52" s="5" t="n">
        <v>195</v>
      </c>
      <c r="F52" s="197" t="n"/>
      <c r="G52" s="197" t="n"/>
      <c r="H52" s="191" t="n"/>
      <c r="I52" s="191" t="n"/>
      <c r="J52" s="191" t="n"/>
      <c r="K52" s="191" t="n"/>
      <c r="L52" s="191" t="n"/>
      <c r="M52" s="192">
        <f>SUM(F52:L52)</f>
        <v/>
      </c>
    </row>
    <row r="53" ht="33.75" customHeight="1" s="67">
      <c r="B53" s="5" t="n">
        <v>40</v>
      </c>
      <c r="C53" s="25" t="inlineStr">
        <is>
          <t xml:space="preserve">ጠቅላላ የሚከፈል የትርፍ ገቢ ግብር ከዉጪ ሀገር የተገኘን ጨምሮ  (መስመር 185 + መስመር 190)  </t>
        </is>
      </c>
      <c r="D53" s="25" t="inlineStr">
        <is>
          <t xml:space="preserve">
 </t>
        </is>
      </c>
      <c r="E53" s="5" t="n">
        <v>200</v>
      </c>
      <c r="F53" s="195">
        <f>+F51+F52</f>
        <v/>
      </c>
      <c r="G53" s="195">
        <f>+G51+G52</f>
        <v/>
      </c>
      <c r="H53" s="195">
        <f>+H51+H52</f>
        <v/>
      </c>
      <c r="I53" s="195">
        <f>+I51+I52</f>
        <v/>
      </c>
      <c r="J53" s="195">
        <f>+J51+J52</f>
        <v/>
      </c>
      <c r="K53" s="195">
        <f>+K51+K52</f>
        <v/>
      </c>
      <c r="L53" s="195">
        <f>+L51+L52</f>
        <v/>
      </c>
      <c r="M53" s="192">
        <f>SUM(F53:L53)</f>
        <v/>
      </c>
    </row>
    <row r="54" ht="33.75" customHeight="1" s="67">
      <c r="B54" s="5" t="n">
        <v>41</v>
      </c>
      <c r="C54" s="25" t="inlineStr">
        <is>
          <t>የባለፈዉ ዓመት  በብልጫ የተከፈለ  አማራጭ አነስተኛ ግብር (በኦዲት የተረጋገጠ )</t>
        </is>
      </c>
      <c r="D54" s="25" t="inlineStr">
        <is>
          <t xml:space="preserve">previous Year Excess MAT Paid  Aproved by Audit </t>
        </is>
      </c>
      <c r="E54" s="22" t="n">
        <v>205</v>
      </c>
      <c r="F54" s="195" t="n"/>
      <c r="G54" s="195" t="n"/>
      <c r="H54" s="195" t="n"/>
      <c r="I54" s="195" t="n"/>
      <c r="J54" s="195" t="n"/>
      <c r="K54" s="195" t="n"/>
      <c r="L54" s="195" t="n"/>
      <c r="M54" s="198">
        <f>+F54</f>
        <v/>
      </c>
    </row>
    <row r="55" ht="33" customHeight="1" s="67">
      <c r="B55" s="5" t="n">
        <v>42</v>
      </c>
      <c r="C55" s="25" t="inlineStr">
        <is>
          <t>የዘርፉ አማራጭ አነስተኛ መቶኛ ድርሻ</t>
        </is>
      </c>
      <c r="D55" s="25" t="inlineStr">
        <is>
          <t>Proportional MAT rate for the sector</t>
        </is>
      </c>
      <c r="E55" s="5" t="n">
        <v>210</v>
      </c>
      <c r="F55" s="32" t="n"/>
      <c r="G55" s="32" t="n"/>
      <c r="H55" s="32" t="n"/>
      <c r="I55" s="32" t="n"/>
      <c r="J55" s="32" t="n"/>
      <c r="K55" s="32" t="n"/>
      <c r="L55" s="32" t="n"/>
      <c r="M55" s="34">
        <f>SUM(F55:L55)</f>
        <v/>
      </c>
    </row>
    <row r="56" ht="36" customHeight="1" s="67">
      <c r="B56" s="5" t="n">
        <v>43</v>
      </c>
      <c r="C56" s="25" t="inlineStr">
        <is>
          <t>ካለፈዉ ዓመት እንዲዞር የተፈቀደ በሽያጭ መቶኛ መሰረት የዚህ ዘርፍ ድርሻ መጠን (መስመር 200*መስመር 205)</t>
        </is>
      </c>
      <c r="D56" s="25" t="inlineStr">
        <is>
          <t>previous MAT Credit amount for this sector based on the Proportional rate (Line 200*205)</t>
        </is>
      </c>
      <c r="E56" s="5" t="n">
        <v>215</v>
      </c>
      <c r="F56" s="195">
        <f>+F54*F55</f>
        <v/>
      </c>
      <c r="G56" s="195">
        <f>+G54*G55</f>
        <v/>
      </c>
      <c r="H56" s="195">
        <f>+H54*H55</f>
        <v/>
      </c>
      <c r="I56" s="195">
        <f>+I54*I55</f>
        <v/>
      </c>
      <c r="J56" s="195">
        <f>+J54*J55</f>
        <v/>
      </c>
      <c r="K56" s="195">
        <f>+K54*K55</f>
        <v/>
      </c>
      <c r="L56" s="195">
        <f>+L54*L55</f>
        <v/>
      </c>
      <c r="M56" s="192">
        <f>SUM(F56:L56)</f>
        <v/>
      </c>
    </row>
    <row r="57" ht="36" customHeight="1" s="67">
      <c r="B57" s="5" t="n">
        <v>44</v>
      </c>
      <c r="C57" s="6" t="inlineStr">
        <is>
          <t>እስከ 5 ዓመት ግብር ከፋዩ የከፈለዉ ግብር ሊከፍል ከሚገባው የንግድ ትርፍ ላይ የሚቀነስ የገንዘብ መጠን መደበኛ ተመን ከአማራጭ አነስተኛ ሲበልጥ መስመር (175- መስመር 180)</t>
        </is>
      </c>
      <c r="D57" s="25" t="inlineStr">
        <is>
          <t>Maximum deductable MAT [if Standard rate is greater than MAT Line 175- Line 180 ]</t>
        </is>
      </c>
      <c r="E57" s="5" t="n">
        <v>220</v>
      </c>
      <c r="F57" s="195">
        <f>+IF(F49&gt;F50,F49-F50,0)</f>
        <v/>
      </c>
      <c r="G57" s="195">
        <f>+IF(G49&gt;G50,G49-G50,0)</f>
        <v/>
      </c>
      <c r="H57" s="195">
        <f>+IF(H49&gt;H50,H49-H50,0)</f>
        <v/>
      </c>
      <c r="I57" s="195">
        <f>+IF(I49&gt;I50,I49-I50,0)</f>
        <v/>
      </c>
      <c r="J57" s="195">
        <f>+IF(J49&gt;J50,J49-J50,0)</f>
        <v/>
      </c>
      <c r="K57" s="195">
        <f>+IF(K49&gt;K50,K49-K50,0)</f>
        <v/>
      </c>
      <c r="L57" s="195">
        <f>+IF(L49&gt;L50,L49-L50,0)</f>
        <v/>
      </c>
      <c r="M57" s="192">
        <f>SUM(F57:L57)</f>
        <v/>
      </c>
    </row>
    <row r="58" ht="36" customHeight="1" s="67">
      <c r="B58" s="5" t="n">
        <v>45</v>
      </c>
      <c r="C58" s="25" t="inlineStr">
        <is>
          <t>በበጀት ዓመቱ በብልጫ የተከፈለ አማራጭ አነስተኛ ግብር (መስመር 180- መስመር 175)</t>
        </is>
      </c>
      <c r="D58" s="25" t="inlineStr">
        <is>
          <t xml:space="preserve">Current Year MAT available [if MAT is greater than Standard rate then Line 180- Line175] </t>
        </is>
      </c>
      <c r="E58" s="5" t="n">
        <v>225</v>
      </c>
      <c r="F58" s="195">
        <f>+IF(F50&gt;F49,F50-F49,0)</f>
        <v/>
      </c>
      <c r="G58" s="195">
        <f>+IF(G50&gt;G49,G50-G49,0)</f>
        <v/>
      </c>
      <c r="H58" s="195">
        <f>+IF(H50&gt;H49,H50-H49,0)</f>
        <v/>
      </c>
      <c r="I58" s="195">
        <f>+IF(I50&gt;I49,I50-I49,0)</f>
        <v/>
      </c>
      <c r="J58" s="195">
        <f>+IF(J50&gt;J49,J50-J49,0)</f>
        <v/>
      </c>
      <c r="K58" s="195">
        <f>+IF(K50&gt;K49,K50-K49,0)</f>
        <v/>
      </c>
      <c r="L58" s="195">
        <f>+IF(L50&gt;L49,L50-L49,0)</f>
        <v/>
      </c>
      <c r="M58" s="192">
        <f>SUM(F58:L58)</f>
        <v/>
      </c>
      <c r="N58" s="35" t="n"/>
    </row>
    <row r="59" ht="36" customHeight="1" s="67">
      <c r="B59" s="5" t="n">
        <v>46</v>
      </c>
      <c r="C59" s="25" t="inlineStr">
        <is>
          <t>በበጀት ዓመቱ ያለ አማራጭ አነስተኛ ግብር  (መስመር 210+ መስመር 220)</t>
        </is>
      </c>
      <c r="D59" s="25" t="inlineStr">
        <is>
          <t>available MAT credit [210+220]</t>
        </is>
      </c>
      <c r="E59" s="5" t="n">
        <v>230</v>
      </c>
      <c r="F59" s="195">
        <f>+F56+F58</f>
        <v/>
      </c>
      <c r="G59" s="195">
        <f>+G56+G58</f>
        <v/>
      </c>
      <c r="H59" s="195">
        <f>+H56+H58</f>
        <v/>
      </c>
      <c r="I59" s="195">
        <f>+I56+I58</f>
        <v/>
      </c>
      <c r="J59" s="195">
        <f>+J56+J58</f>
        <v/>
      </c>
      <c r="K59" s="195">
        <f>+K56+K58</f>
        <v/>
      </c>
      <c r="L59" s="195">
        <f>+L56+L58</f>
        <v/>
      </c>
      <c r="M59" s="192">
        <f>SUM(F59:L59)</f>
        <v/>
      </c>
    </row>
    <row r="60" ht="36.75" customHeight="1" s="67">
      <c r="B60" s="5" t="n">
        <v>47</v>
      </c>
      <c r="C60" s="25" t="inlineStr">
        <is>
          <t>በበጀት ዓመቱ የተጠቀመዉ አማራጭ አነስተኛ ግብር ማቀናነስ የሚፈቀድለት (ከመስመር 210 እና  መስመር 215)</t>
        </is>
      </c>
      <c r="D60" s="25" t="inlineStr">
        <is>
          <t>MAT Credit Used [up to standard rate]</t>
        </is>
      </c>
      <c r="E60" s="22" t="n">
        <v>235</v>
      </c>
      <c r="F60" s="195">
        <f>+MIN(F56,F57)</f>
        <v/>
      </c>
      <c r="G60" s="195">
        <f>+MIN(G56,G57)</f>
        <v/>
      </c>
      <c r="H60" s="195">
        <f>+MIN(H56,H57)</f>
        <v/>
      </c>
      <c r="I60" s="195">
        <f>+MIN(I56,I57)</f>
        <v/>
      </c>
      <c r="J60" s="195">
        <f>+MIN(J56,J57)</f>
        <v/>
      </c>
      <c r="K60" s="195">
        <f>+MIN(K56,K57)</f>
        <v/>
      </c>
      <c r="L60" s="195">
        <f>+MIN(L56,L57)</f>
        <v/>
      </c>
      <c r="M60" s="192">
        <f>SUM(F60:L60)</f>
        <v/>
      </c>
    </row>
    <row r="61" ht="36.75" customHeight="1" s="67">
      <c r="B61" s="5" t="n">
        <v>48</v>
      </c>
      <c r="C61" s="25" t="inlineStr">
        <is>
          <t>ተከፋይ ግብር (መስመር 175-መስመር 230)</t>
        </is>
      </c>
      <c r="D61" s="25" t="inlineStr">
        <is>
          <t>Tax to be paid after MAT credit [if standard rate is greater then Line 175- Line 230]</t>
        </is>
      </c>
      <c r="E61" s="5" t="n">
        <v>240</v>
      </c>
      <c r="F61" s="195">
        <f>+IF(F49&gt;F50,F49-F60,F50)</f>
        <v/>
      </c>
      <c r="G61" s="195">
        <f>+IF(G49&gt;G50,G49-G60,G50)</f>
        <v/>
      </c>
      <c r="H61" s="195">
        <f>+IF(H49&gt;H50,H49-H60,H50)</f>
        <v/>
      </c>
      <c r="I61" s="195">
        <f>+IF(I49&gt;I50,I49-I60,I50)</f>
        <v/>
      </c>
      <c r="J61" s="195">
        <f>+IF(J49&gt;J50,J49-J60,J50)</f>
        <v/>
      </c>
      <c r="K61" s="195">
        <f>+IF(K49&gt;K50,K49-K60,K50)</f>
        <v/>
      </c>
      <c r="L61" s="195">
        <f>+IF(L49&gt;L50,L49-L60,L50)</f>
        <v/>
      </c>
      <c r="M61" s="192">
        <f>SUM(F61:L61)</f>
        <v/>
      </c>
    </row>
    <row r="62" ht="36.75" customHeight="1" s="67">
      <c r="B62" s="5" t="n">
        <v>49</v>
      </c>
      <c r="C62" s="25" t="inlineStr">
        <is>
          <t>ወደ ቀጣይ ዓመት የሚዞረዉ  አማራጭ አነስተኛ ግብር (መስመር 225-መስመር 230)</t>
        </is>
      </c>
      <c r="D62" s="25" t="inlineStr">
        <is>
          <t>MAT credit forwarded [Line 225- Line 230]</t>
        </is>
      </c>
      <c r="E62" s="5" t="n">
        <v>245</v>
      </c>
      <c r="F62" s="195">
        <f>+F59-F60</f>
        <v/>
      </c>
      <c r="G62" s="195">
        <f>+G59-G60</f>
        <v/>
      </c>
      <c r="H62" s="195">
        <f>+H59-H60</f>
        <v/>
      </c>
      <c r="I62" s="195">
        <f>+I59-I60</f>
        <v/>
      </c>
      <c r="J62" s="195">
        <f>+J59-J60</f>
        <v/>
      </c>
      <c r="K62" s="195">
        <f>+K59-K60</f>
        <v/>
      </c>
      <c r="L62" s="195">
        <f>+L59-L60</f>
        <v/>
      </c>
      <c r="M62" s="192">
        <f>SUM(F62:L62)</f>
        <v/>
      </c>
    </row>
    <row r="63" ht="15.75" customHeight="1" s="67" thickBot="1"/>
    <row r="64" ht="28.5" customFormat="1" customHeight="1" s="70" thickBot="1">
      <c r="B64" s="199" t="inlineStr">
        <is>
          <t xml:space="preserve"> ክፍል 3 - የግብር ከፋይ የትክክለኛነት ማረጋገጫ (Section 3- Taxpayer Certfication)</t>
        </is>
      </c>
      <c r="C64" s="200" t="n"/>
      <c r="D64" s="200" t="n"/>
      <c r="E64" s="201" t="n"/>
      <c r="F64" s="202" t="inlineStr">
        <is>
          <t>ክፍል---4 ለቢሮ አገልግሎት ብቻ
For office use only</t>
        </is>
      </c>
      <c r="G64" s="203" t="n"/>
      <c r="H64" s="203" t="n"/>
      <c r="I64" s="204" t="n"/>
      <c r="J64" s="108" t="inlineStr">
        <is>
          <t>የገንዘብ ተቀባይ ስምና ፊርማ
Cashier's Name and Signature</t>
        </is>
      </c>
      <c r="K64" s="200" t="n"/>
      <c r="L64" s="201" t="n"/>
    </row>
    <row r="65" ht="53.25" customFormat="1" customHeight="1" s="74" thickBot="1">
      <c r="A65" s="71" t="n"/>
      <c r="B65" s="205" t="inlineStr">
        <is>
          <t>ከላይ የተገለጸው ማስታወቂያ የተሰጠው መረጃ በሙሉ የተሟላና ትክክለኛ መሆኑን አረጋግጣለው፡፡ ትክክለኛ ያልሆነ መረጃ ማቅረብ በግብር ህጎችም ሆነ በወንጀለኛ መቅጫ ሕግ የሚያስቀጣ መሆኑን እገነዘባለሁ፡፡ (I declare that the above declaration and all  information provide here with is correct &amp;complet to the best of my knoldge &amp;belief I understand that any this representation is punshable under the appropriat tax law and penal code)</t>
        </is>
      </c>
      <c r="C65" s="203" t="n"/>
      <c r="D65" s="203" t="n"/>
      <c r="E65" s="204" t="n"/>
      <c r="F65" s="72" t="inlineStr">
        <is>
          <t>የተከፈለበት ቀን
Date of Paymen</t>
        </is>
      </c>
      <c r="G65" s="73" t="inlineStr">
        <is>
          <t xml:space="preserve"> ----------------------</t>
        </is>
      </c>
      <c r="H65" s="97" t="n"/>
      <c r="I65" s="98" t="n"/>
      <c r="J65" s="109" t="inlineStr">
        <is>
          <t>የገቢዎች ሚኒስቴር 
(Authorized Tax Office)</t>
        </is>
      </c>
      <c r="L65" s="206" t="n"/>
    </row>
    <row r="66" ht="28.5" customFormat="1" customHeight="1" s="74" thickBot="1">
      <c r="A66" s="71" t="n"/>
      <c r="B66" s="76" t="n"/>
      <c r="C66" s="77" t="inlineStr">
        <is>
          <t>የግብር ከፋይ ህጋዊ ወኪል (Taxpayers of Authorized Agent )</t>
        </is>
      </c>
      <c r="D66" s="207" t="inlineStr">
        <is>
          <t>የግብር ከፋይ ማህተም 
(Taxpayer Seal)</t>
        </is>
      </c>
      <c r="E66" s="201" t="n"/>
      <c r="F66" s="78" t="inlineStr">
        <is>
          <t>ደረሰኝ ቁጥር
Receipt Number</t>
        </is>
      </c>
      <c r="G66" s="79" t="inlineStr">
        <is>
          <t xml:space="preserve"> ----------------------</t>
        </is>
      </c>
      <c r="H66" s="74" t="n"/>
      <c r="I66" s="75" t="n"/>
      <c r="J66" s="91" t="inlineStr">
        <is>
          <t xml:space="preserve">ስም 
(Name)      </t>
        </is>
      </c>
      <c r="K66" s="92" t="inlineStr">
        <is>
          <t xml:space="preserve"> ---------------------------------</t>
        </is>
      </c>
      <c r="L66" s="83" t="n"/>
    </row>
    <row r="67" ht="46.5" customFormat="1" customHeight="1" s="74">
      <c r="A67" s="71" t="n"/>
      <c r="B67" s="80" t="n"/>
      <c r="C67" s="81" t="inlineStr">
        <is>
          <t>ስም 
(Name)      ---------------------------------</t>
        </is>
      </c>
      <c r="D67" s="208" t="n"/>
      <c r="E67" s="206" t="n"/>
      <c r="F67" s="72" t="inlineStr">
        <is>
          <t>የክፍያ መጠን
Amount of Payment</t>
        </is>
      </c>
      <c r="G67" s="82" t="inlineStr">
        <is>
          <t xml:space="preserve"> ----------------------</t>
        </is>
      </c>
      <c r="H67" s="74" t="n"/>
      <c r="I67" s="83" t="n"/>
      <c r="J67" s="94" t="inlineStr">
        <is>
          <t xml:space="preserve">ፊርማ 
(Signature)       </t>
        </is>
      </c>
      <c r="K67" s="93" t="inlineStr">
        <is>
          <t xml:space="preserve"> ---------------------------------</t>
        </is>
      </c>
      <c r="L67" s="83" t="n"/>
    </row>
    <row r="68" ht="27.75" customFormat="1" customHeight="1" s="74" thickBot="1">
      <c r="A68" s="84" t="n"/>
      <c r="B68" s="85" t="n"/>
      <c r="C68" s="86" t="inlineStr">
        <is>
          <t>ፊርማ 
(Signature)       ---------------------------------</t>
        </is>
      </c>
      <c r="D68" s="208" t="n"/>
      <c r="E68" s="206" t="n"/>
      <c r="F68" s="78" t="inlineStr">
        <is>
          <t>የቼክ ቁጥር 
(Check Number)</t>
        </is>
      </c>
      <c r="G68" s="87" t="inlineStr">
        <is>
          <t xml:space="preserve"> ----------------------</t>
        </is>
      </c>
      <c r="H68" s="99" t="n"/>
      <c r="I68" s="100" t="n"/>
      <c r="J68" s="95" t="inlineStr">
        <is>
          <t xml:space="preserve">ቀን 
(Date) </t>
        </is>
      </c>
      <c r="K68" s="96" t="inlineStr">
        <is>
          <t xml:space="preserve"> ---------------------------------</t>
        </is>
      </c>
      <c r="L68" s="101" t="n"/>
    </row>
    <row r="69" ht="22.5" customFormat="1" customHeight="1" s="74" thickBot="1">
      <c r="A69" s="88" t="n"/>
      <c r="B69" s="89" t="n"/>
      <c r="C69" s="90" t="inlineStr">
        <is>
          <t>ቀን 
(Date)  ---------------------------------</t>
        </is>
      </c>
      <c r="D69" s="209" t="n"/>
      <c r="E69" s="210" t="n"/>
      <c r="I69" s="93" t="n"/>
      <c r="J69" s="74" t="n"/>
    </row>
  </sheetData>
  <mergeCells count="31">
    <mergeCell ref="D2:F2"/>
    <mergeCell ref="J6:L6"/>
    <mergeCell ref="F13:L13"/>
    <mergeCell ref="B7:C7"/>
    <mergeCell ref="B65:E65"/>
    <mergeCell ref="J65:L65"/>
    <mergeCell ref="B64:E64"/>
    <mergeCell ref="E5:F5"/>
    <mergeCell ref="D66:E69"/>
    <mergeCell ref="E9:M9"/>
    <mergeCell ref="G3:I3"/>
    <mergeCell ref="M10:M13"/>
    <mergeCell ref="E6:G6"/>
    <mergeCell ref="H6:I6"/>
    <mergeCell ref="F64:I64"/>
    <mergeCell ref="G7:H7"/>
    <mergeCell ref="B4:H4"/>
    <mergeCell ref="D3:F3"/>
    <mergeCell ref="G1:I1"/>
    <mergeCell ref="B10:B13"/>
    <mergeCell ref="B5:D5"/>
    <mergeCell ref="J7:K7"/>
    <mergeCell ref="D1:F1"/>
    <mergeCell ref="J64:L64"/>
    <mergeCell ref="B8:H8"/>
    <mergeCell ref="G2:I2"/>
    <mergeCell ref="B6:C6"/>
    <mergeCell ref="B1:B3"/>
    <mergeCell ref="E7:F7"/>
    <mergeCell ref="C10:D13"/>
    <mergeCell ref="H5:I5"/>
  </mergeCells>
  <pageMargins left="0.7" right="0.7" top="0.75" bottom="0.75" header="0.3" footer="0.3"/>
  <pageSetup orientation="landscape" scale="58" horizontalDpi="300" verticalDpi="300"/>
  <colBreaks count="1" manualBreakCount="1">
    <brk id="13" min="0" max="1048575" man="1"/>
  </colBreaks>
</worksheet>
</file>

<file path=xl/worksheets/sheet2.xml><?xml version="1.0" encoding="utf-8"?>
<worksheet xmlns="http://schemas.openxmlformats.org/spreadsheetml/2006/main">
  <sheetPr>
    <outlinePr summaryBelow="1" summaryRight="1"/>
    <pageSetUpPr/>
  </sheetPr>
  <dimension ref="A1:L73"/>
  <sheetViews>
    <sheetView topLeftCell="A67" workbookViewId="0">
      <selection activeCell="I6" sqref="I6"/>
    </sheetView>
  </sheetViews>
  <sheetFormatPr baseColWidth="8" defaultRowHeight="15"/>
  <cols>
    <col width="2.42578125" customWidth="1" style="67" min="1" max="1"/>
    <col width="6.140625" customWidth="1" style="67" min="2" max="2"/>
    <col width="43.7109375" customWidth="1" style="24" min="3" max="3"/>
    <col width="42.28515625" customWidth="1" style="2" min="4" max="4"/>
    <col width="8.42578125" customWidth="1" style="67" min="5" max="5"/>
    <col width="29" customWidth="1" style="172" min="6" max="6"/>
    <col width="14.7109375" customWidth="1" style="67" min="7" max="7"/>
    <col width="9.140625" customWidth="1" style="67" min="8" max="16384"/>
  </cols>
  <sheetData>
    <row r="1" ht="39" customHeight="1" s="67">
      <c r="B1" s="130" t="n"/>
      <c r="C1" s="24" t="n"/>
      <c r="D1" s="136" t="inlineStr">
        <is>
          <t>ገቢዎች ሚኒስቴር
Ministry of Revenue</t>
        </is>
      </c>
      <c r="G1" s="172" t="n"/>
    </row>
    <row r="2" ht="39" customHeight="1" s="67">
      <c r="C2" s="24" t="n"/>
      <c r="D2" s="131" t="inlineStr">
        <is>
          <t xml:space="preserve">ሠንጠረዥ ሐ -የንግድ ስራ ገቢ ማሳወቂያ ቅፅ
Schedule C - Business Income Tax Declaration </t>
        </is>
      </c>
      <c r="G2" s="172" t="n"/>
    </row>
    <row r="3" ht="68.25" customHeight="1" s="67">
      <c r="C3" s="53" t="inlineStr">
        <is>
          <t>በባንክ እና ኢንሹራንስ ስራ ከተሰማሩት ዉጪ ላሉ ግብር ከፋዮች የተጠቃለለ ማሳወቂያ ቅፅ 
Consolidated Declaration Form for all except Bank and Insurance</t>
        </is>
      </c>
      <c r="D3" s="133" t="inlineStr">
        <is>
          <t xml:space="preserve">የሂሳብ መዝገብ መያዝ ለሚጠበቅባቸው ማናቸውም ድርጅቶች እና ግለሰቦች 
For Company and Individuals those who Maintain Book of Accounts </t>
        </is>
      </c>
      <c r="G3" s="172" t="n"/>
    </row>
    <row r="4" ht="24" customHeight="1" s="67">
      <c r="B4" s="49" t="n"/>
      <c r="C4" s="51" t="inlineStr">
        <is>
          <t>Check Filing Status:</t>
        </is>
      </c>
      <c r="D4" s="52" t="inlineStr">
        <is>
          <t>¨ Schedule C Business Income Tax</t>
        </is>
      </c>
      <c r="E4" s="169" t="inlineStr">
        <is>
          <t xml:space="preserve">¨ Schedule C Mining </t>
        </is>
      </c>
      <c r="F4" s="175" t="n"/>
      <c r="G4" s="50" t="n"/>
    </row>
    <row r="5" ht="39" customHeight="1" s="67">
      <c r="B5" s="117" t="inlineStr">
        <is>
          <t>ክፍል 1፡- የግብር ከፋይ መለያ ዝርዝር መረጃ (Section 1 – Taxpayer Information)</t>
        </is>
      </c>
    </row>
    <row r="6" ht="34" customFormat="1" customHeight="1" s="92">
      <c r="B6" s="46" t="inlineStr">
        <is>
          <t>1.የግብር ከፋዩ ስም(የድርጅቱ ስም ወይም ስም፣ የአባት ስም እና የአያት ስም) (Taxpayer’s Company Name or Name, Father’s Name, Grandfather’s Name)
►  HELIAS AI AND ANALYTICS PLC</t>
        </is>
      </c>
      <c r="C6" s="175" t="n"/>
      <c r="D6" s="46" t="inlineStr">
        <is>
          <t>3. የግብር ከፋይ መለያ ቁጥር (Taxpayer Identification Number)
►  0098960114</t>
        </is>
      </c>
      <c r="E6" s="175" t="n"/>
      <c r="F6" s="46" t="inlineStr">
        <is>
          <t>8.የግብር ዘመን ( For the Year of…………….)
►  2018 E.C. (08 Jul 2025 – 07 Jul 2026)</t>
        </is>
      </c>
      <c r="G6" s="47" t="inlineStr">
        <is>
          <t>Page 1 of ___</t>
        </is>
      </c>
    </row>
    <row r="7" ht="34" customFormat="1" customHeight="1" s="45">
      <c r="B7" s="46" t="inlineStr">
        <is>
          <t>2a. ክልል (Region)
►  Addis Ababa</t>
        </is>
      </c>
      <c r="C7" s="175" t="n"/>
      <c r="D7" s="46" t="inlineStr">
        <is>
          <t>2b. ዞን/ክፍለ ከተማ (Zone/K-Ketema)
►  Lemi Kura</t>
        </is>
      </c>
      <c r="E7" s="175" t="n"/>
      <c r="F7" s="47" t="inlineStr">
        <is>
          <t>4. የግብር ሒሳብ ቁጥር (Tax Account Number)
►  ____  (Tax Account No. — confirm)</t>
        </is>
      </c>
      <c r="G7" s="47" t="inlineStr">
        <is>
          <t>5. የግብር ሰብሳቢ ቅርንጫፍ ጽ/ቤት ስም (Tax Center)
►  Lemi Kura sub-city tax office (confirm)</t>
        </is>
      </c>
    </row>
    <row r="8" ht="34" customFormat="1" customHeight="1" s="45">
      <c r="B8" s="47" t="inlineStr">
        <is>
          <t>2c. ወረዳ (Woreda)
►  05</t>
        </is>
      </c>
      <c r="C8" s="175" t="n"/>
      <c r="D8" s="47" t="inlineStr">
        <is>
          <t>2d. ክፍለ ከተማ/ ቀበሌ/ ገበሬ ማህበር (Kebele/Farmers Association)
►  —</t>
        </is>
      </c>
      <c r="E8" s="175" t="n"/>
      <c r="F8" s="47" t="inlineStr">
        <is>
          <t>2e. የቤት ቁጥር (House Number)
►  New</t>
        </is>
      </c>
      <c r="G8" s="47" t="inlineStr">
        <is>
          <t>6. ስልክ ቁጥር (Telephone Number)
►  0913081828</t>
        </is>
      </c>
    </row>
    <row r="9" ht="34" customFormat="1" customHeight="1" s="45">
      <c r="B9" s="165" t="n"/>
      <c r="C9" s="47" t="inlineStr">
        <is>
          <t>7a ኢ-ሜይል አድራሻ E-Mail Address
►  —</t>
        </is>
      </c>
      <c r="D9" s="165" t="inlineStr">
        <is>
          <t>7b ፋክስ ቁጥር Fax Number</t>
        </is>
      </c>
      <c r="E9" s="175" t="n"/>
      <c r="F9" s="166" t="inlineStr">
        <is>
          <t>የሰነድ ቁጥር (ለቢሮ አገልግሎት ብቻ) Document Number (Official Use Only)</t>
        </is>
      </c>
      <c r="G9" s="175" t="n"/>
    </row>
    <row r="10" ht="31.5" customHeight="1" s="67">
      <c r="B10" s="117" t="inlineStr">
        <is>
          <t>ክፍል 2 የታክስ ማስታወቂያ (Section 2 – Tax Declaration)</t>
        </is>
      </c>
    </row>
    <row r="11" ht="36" customFormat="1" customHeight="1" s="56">
      <c r="B11" s="54" t="inlineStr">
        <is>
          <t>No</t>
        </is>
      </c>
      <c r="C11" s="55" t="inlineStr">
        <is>
          <t xml:space="preserve">መግለጫ 
</t>
        </is>
      </c>
      <c r="D11" s="55" t="inlineStr">
        <is>
          <t>(Description)</t>
        </is>
      </c>
      <c r="E11" s="55" t="inlineStr">
        <is>
          <t>መስመር ቁ.ር 
Line No</t>
        </is>
      </c>
      <c r="F11" s="211" t="inlineStr">
        <is>
          <t>ገንዘብ 
Amount</t>
        </is>
      </c>
      <c r="G11" s="212" t="n"/>
    </row>
    <row r="12" ht="46.5" customHeight="1" s="67">
      <c r="B12" s="5" t="n">
        <v>1</v>
      </c>
      <c r="C12" s="6" t="inlineStr">
        <is>
          <t xml:space="preserve"> በግብር አመቱ ከተከናወነ የዕቃ ሽያጭ / አገልግሎት  የተገኘ ኮሚሽን የማይከፈልበት ጠቅላላ  ገቢ </t>
        </is>
      </c>
      <c r="D12" s="7" t="inlineStr">
        <is>
          <t xml:space="preserve"> Total income from all sources of business income of a body or a person goods supplied/services rendered in the tax year</t>
        </is>
      </c>
      <c r="E12" s="5" t="n">
        <v>5</v>
      </c>
      <c r="F12" s="213" t="n">
        <v>2082530.52</v>
      </c>
    </row>
    <row r="13" ht="46.5" customHeight="1" s="67">
      <c r="B13" s="5" t="n">
        <v>2</v>
      </c>
      <c r="C13" s="6" t="inlineStr">
        <is>
          <t xml:space="preserve">በህግ ወይም በተዋዋዮች መካከል በተደረገ ዉልና ዋጋቸዉ በመንግስት አካል በሚወሰን/ቁጥጥር ከሚደረግባቸዉ ስራዎች የተገኘ ኮሚሽን የሚሰላበት ጠቅላላ ገቢ </t>
        </is>
      </c>
      <c r="D13" s="7" t="inlineStr">
        <is>
          <t xml:space="preserve"> Total income from all sources of business income of a body or a person goods supplied/services rendered in the tax year Non taxable from Operating Income</t>
        </is>
      </c>
      <c r="E13" s="5" t="n">
        <v>10</v>
      </c>
      <c r="F13" s="213" t="n">
        <v>0</v>
      </c>
    </row>
    <row r="14" ht="30" customHeight="1" s="67">
      <c r="B14" s="5" t="n">
        <v>3</v>
      </c>
      <c r="C14" s="6" t="inlineStr">
        <is>
          <t xml:space="preserve">በህግ ወይም ተዋዋዮች መካከል በተደረገ ዉል መሰረት አገልግሎት ሰጪዉ ያገኘዉ ጠቅላላ የኮሚሽን ገቢ </t>
        </is>
      </c>
      <c r="D14" s="7" t="inlineStr">
        <is>
          <t xml:space="preserve">Commission Income </t>
        </is>
      </c>
      <c r="E14" s="5" t="n">
        <v>15</v>
      </c>
      <c r="F14" s="213" t="n">
        <v>0</v>
      </c>
    </row>
    <row r="15" ht="30" customHeight="1" s="67">
      <c r="B15" s="5" t="n">
        <v>4</v>
      </c>
      <c r="C15" s="6" t="inlineStr">
        <is>
          <t>ዋጋቸዉ በዉል/በመንግስት አካል ከተወሰነ/ቁጥጥር ከሚደረግበት ስራ የተገኘ  ጠቅላላ የኮሚሽን ገቢ</t>
        </is>
      </c>
      <c r="D15" s="7" t="inlineStr">
        <is>
          <t xml:space="preserve">Commission Income, in the case of a price-regulated company/person  </t>
        </is>
      </c>
      <c r="E15" s="5" t="n">
        <v>20</v>
      </c>
      <c r="F15" s="213" t="n">
        <v>0</v>
      </c>
    </row>
    <row r="16" ht="30" customHeight="1" s="67">
      <c r="B16" s="5" t="n">
        <v>5</v>
      </c>
      <c r="C16" s="6" t="inlineStr">
        <is>
          <t xml:space="preserve"> ከገቢ ግብር እፎይታ ከተሰጠው የተገኘ የንግድ ስራ ገቢ/ሽያጭ/የአገልግሎት ገቢ </t>
        </is>
      </c>
      <c r="D16" s="7" t="inlineStr">
        <is>
          <t>Business Income  from Tax-Holiday Granted Sector/s  if any</t>
        </is>
      </c>
      <c r="E16" s="5" t="n">
        <v>25</v>
      </c>
      <c r="F16" s="213" t="n">
        <v>0</v>
      </c>
    </row>
    <row r="17" ht="30" customHeight="1" s="67">
      <c r="B17" s="5" t="n">
        <v>6</v>
      </c>
      <c r="C17" s="6" t="inlineStr">
        <is>
          <t xml:space="preserve">በሀገራት የሁለትዮሽና በሶስትዮሽ ስምምነት መሰረት ግብር የማይከፈልበት ገቢ 
</t>
        </is>
      </c>
      <c r="D17" s="7" t="inlineStr">
        <is>
          <t>Revenue from Foreign Gov't having Bilateral Agreement if any</t>
        </is>
      </c>
      <c r="E17" s="5" t="n">
        <v>30</v>
      </c>
      <c r="F17" s="213" t="n">
        <v>0</v>
      </c>
    </row>
    <row r="18" ht="30" customHeight="1" s="67">
      <c r="B18" s="5" t="n">
        <v>7</v>
      </c>
      <c r="C18" s="6" t="inlineStr">
        <is>
          <t xml:space="preserve">በህግ የተፈቀደ እና አማራጭ አነስተኛ ግብር የማይመለከተዉ ገቢ </t>
        </is>
      </c>
      <c r="D18" s="7" t="inlineStr">
        <is>
          <t xml:space="preserve">Exempted from minimum alternative tax  </t>
        </is>
      </c>
      <c r="E18" s="36" t="n">
        <v>35</v>
      </c>
      <c r="F18" s="213" t="n">
        <v>0</v>
      </c>
    </row>
    <row r="19" ht="30" customHeight="1" s="67">
      <c r="B19" s="5" t="n">
        <v>8</v>
      </c>
      <c r="C19" s="6" t="inlineStr">
        <is>
          <t xml:space="preserve">ታክስ የሚከፈልበት ሌሎች ገቢዎች </t>
        </is>
      </c>
      <c r="D19" s="7" t="inlineStr">
        <is>
          <t xml:space="preserve">Taxable Income from Non Operating and other Income </t>
        </is>
      </c>
      <c r="E19" s="5" t="n">
        <v>40</v>
      </c>
      <c r="F19" s="213" t="n">
        <v>0</v>
      </c>
    </row>
    <row r="20" ht="30" customHeight="1" s="67">
      <c r="B20" s="5" t="n">
        <v>9</v>
      </c>
      <c r="C20" s="6" t="inlineStr">
        <is>
          <t xml:space="preserve">ታክስ የማይከፈልባቸዉ የሠንጠረዥ "መ" ገቢዎች እና ሌሎች ገቢዎች </t>
        </is>
      </c>
      <c r="D20" s="7" t="inlineStr">
        <is>
          <t xml:space="preserve">Non Taxable Income from Schedule "D" other Income  </t>
        </is>
      </c>
      <c r="E20" s="5" t="n">
        <v>45</v>
      </c>
      <c r="F20" s="213" t="n">
        <v>0</v>
      </c>
    </row>
    <row r="21" ht="30" customHeight="1" s="67">
      <c r="B21" s="5" t="n">
        <v>10</v>
      </c>
      <c r="C21" s="25" t="inlineStr">
        <is>
          <t xml:space="preserve">ከዕቃ ሽያጭ /እና አገልግሎት  የተገኘ ጠቅላላ ገቢ </t>
        </is>
      </c>
      <c r="D21" s="9" t="inlineStr">
        <is>
          <t xml:space="preserve">Business Income or Sales/Turnover of Annual Gross Receipt From all Sources Total </t>
        </is>
      </c>
      <c r="E21" s="5" t="n">
        <v>50</v>
      </c>
      <c r="F21" s="214">
        <f>SUM(F12:F20)</f>
        <v/>
      </c>
    </row>
    <row r="22" ht="30" customHeight="1" s="67">
      <c r="B22" s="5" t="n">
        <v>11</v>
      </c>
      <c r="C22" s="25" t="inlineStr">
        <is>
          <t xml:space="preserve">ለንግድ ትርፍ ግብር የስሌት መነሻ የሚሆን ጠቅላላ ገቢ </t>
        </is>
      </c>
      <c r="D22" s="10" t="n"/>
      <c r="E22" s="5" t="n">
        <v>55</v>
      </c>
      <c r="F22" s="214">
        <f>F12+F13+F14+F15+F18+F19</f>
        <v/>
      </c>
    </row>
    <row r="23" ht="30" customHeight="1" s="67">
      <c r="B23" s="5" t="n">
        <v>12</v>
      </c>
      <c r="C23" s="25" t="inlineStr">
        <is>
          <t xml:space="preserve">ለአማራጭ አነስተኛ ግብር የስሌት መነሻ የሚሆን ጠቅላላ ገቢዎች  </t>
        </is>
      </c>
      <c r="D23" s="10" t="n"/>
      <c r="E23" s="5" t="n">
        <v>60</v>
      </c>
      <c r="F23" s="214">
        <f>F12+F14+F15+F19</f>
        <v/>
      </c>
    </row>
    <row r="24" ht="30" customHeight="1" s="67">
      <c r="B24" s="5" t="n">
        <v>13</v>
      </c>
      <c r="C24" s="6" t="inlineStr">
        <is>
          <t xml:space="preserve">የተሸጡ ዕቃዎች ወይም/እና አገልግሎት ዋጋ </t>
        </is>
      </c>
      <c r="D24" s="7" t="inlineStr">
        <is>
          <t xml:space="preserve">Cost of Goods sold/Direct Cost of Service </t>
        </is>
      </c>
      <c r="E24" s="5" t="n">
        <v>65</v>
      </c>
      <c r="F24" s="213" t="n">
        <v>0</v>
      </c>
    </row>
    <row r="25" ht="30" customHeight="1" s="67">
      <c r="B25" s="5" t="n">
        <v>14</v>
      </c>
      <c r="C25" s="6" t="inlineStr">
        <is>
          <t xml:space="preserve">ያልተጣራ ትርፍ/ኪሳራ 
</t>
        </is>
      </c>
      <c r="D25" s="7" t="inlineStr">
        <is>
          <t xml:space="preserve">Gross Profit/Loss </t>
        </is>
      </c>
      <c r="E25" s="5" t="n">
        <v>70</v>
      </c>
      <c r="F25" s="214">
        <f>F22-F24</f>
        <v/>
      </c>
    </row>
    <row r="26" ht="30" customHeight="1" s="67">
      <c r="B26" s="5" t="n">
        <v>15</v>
      </c>
      <c r="C26" s="6" t="inlineStr">
        <is>
          <t xml:space="preserve">የሽያጭና የማከፋፈያ ወጪ </t>
        </is>
      </c>
      <c r="D26" s="7" t="inlineStr">
        <is>
          <t xml:space="preserve">Selling &amp; Distribution Expenses </t>
        </is>
      </c>
      <c r="E26" s="5" t="n">
        <v>75</v>
      </c>
      <c r="F26" s="213" t="n">
        <v>0</v>
      </c>
    </row>
    <row r="27" ht="30" customHeight="1" s="67">
      <c r="B27" s="5" t="n">
        <v>16</v>
      </c>
      <c r="C27" s="6" t="inlineStr">
        <is>
          <t xml:space="preserve">የሰራተኛ ደመወዝ እና የጉልበት ወጪዎች      
</t>
        </is>
      </c>
      <c r="D27" s="7" t="inlineStr">
        <is>
          <t>Salary and Wages</t>
        </is>
      </c>
      <c r="E27" s="5" t="n">
        <v>80</v>
      </c>
      <c r="F27" s="213" t="n">
        <v>95000</v>
      </c>
    </row>
    <row r="28" ht="30" customHeight="1" s="67">
      <c r="B28" s="5" t="n">
        <v>17</v>
      </c>
      <c r="C28" s="6" t="inlineStr">
        <is>
          <t xml:space="preserve">ሌሎች የሰራተኛ ወጪዎች </t>
        </is>
      </c>
      <c r="D28" s="7" t="inlineStr">
        <is>
          <t xml:space="preserve">Other Employee Benefits </t>
        </is>
      </c>
      <c r="E28" s="5" t="n">
        <v>85</v>
      </c>
      <c r="F28" s="213" t="n">
        <v>10450</v>
      </c>
    </row>
    <row r="29" ht="30" customHeight="1" s="67">
      <c r="B29" s="5" t="n">
        <v>18</v>
      </c>
      <c r="C29" s="6" t="inlineStr">
        <is>
          <t xml:space="preserve">የጥገና ወጪዎች      
</t>
        </is>
      </c>
      <c r="D29" s="7" t="inlineStr">
        <is>
          <t>Repair and Maintenance Expenses</t>
        </is>
      </c>
      <c r="E29" s="5" t="n">
        <v>90</v>
      </c>
      <c r="F29" s="213" t="n">
        <v>0</v>
      </c>
    </row>
    <row r="30" ht="30" customHeight="1" s="67">
      <c r="B30" s="5" t="n">
        <v>19</v>
      </c>
      <c r="C30" s="6" t="inlineStr">
        <is>
          <t xml:space="preserve">ተቀናሽ የሚደረግ የኢንቨስትመንት /የካፒታል ተሳትፎ/ </t>
        </is>
      </c>
      <c r="D30" s="7" t="inlineStr">
        <is>
          <t xml:space="preserve">Investment/Participation Expenses </t>
        </is>
      </c>
      <c r="E30" s="5" t="n">
        <v>95</v>
      </c>
      <c r="F30" s="213" t="n">
        <v>0</v>
      </c>
    </row>
    <row r="31" ht="30" customHeight="1" s="67">
      <c r="B31" s="5" t="n">
        <v>20</v>
      </c>
      <c r="C31" s="6" t="inlineStr">
        <is>
          <t xml:space="preserve">ውጭ አገር የተከፈለ የቴክኒክ አገልግሎት ክፍያ     
</t>
        </is>
      </c>
      <c r="D31" s="7" t="inlineStr">
        <is>
          <t>Foreign Technical Service Expenses</t>
        </is>
      </c>
      <c r="E31" s="5" t="n">
        <v>100</v>
      </c>
      <c r="F31" s="213" t="n">
        <v>0</v>
      </c>
    </row>
    <row r="32" ht="30" customHeight="1" s="67">
      <c r="B32" s="5" t="n">
        <v>21</v>
      </c>
      <c r="C32" s="6" t="inlineStr">
        <is>
          <t xml:space="preserve">የስልክ፣ የውሃ እና መብራት ወጪዎች    
</t>
        </is>
      </c>
      <c r="D32" s="7" t="inlineStr">
        <is>
          <t>Utilities Expenses</t>
        </is>
      </c>
      <c r="E32" s="5" t="n">
        <v>105</v>
      </c>
      <c r="F32" s="213" t="n">
        <v>5224</v>
      </c>
    </row>
    <row r="33" ht="30" customHeight="1" s="67">
      <c r="B33" s="5" t="n">
        <v>22</v>
      </c>
      <c r="C33" s="6" t="inlineStr">
        <is>
          <t xml:space="preserve">የመጓጓዣ እና ተጓዳኝ ወጪዎች   
</t>
        </is>
      </c>
      <c r="D33" s="7" t="inlineStr">
        <is>
          <t>Travel Expenses</t>
        </is>
      </c>
      <c r="E33" s="5" t="n">
        <v>110</v>
      </c>
      <c r="F33" s="213" t="n">
        <v>303006</v>
      </c>
    </row>
    <row r="34" ht="30" customHeight="1" s="67">
      <c r="B34" s="5" t="n">
        <v>23</v>
      </c>
      <c r="C34" s="6" t="inlineStr">
        <is>
          <t xml:space="preserve">የኪራይ ወጪዎች    
</t>
        </is>
      </c>
      <c r="D34" s="7" t="inlineStr">
        <is>
          <t>Rent Expenses</t>
        </is>
      </c>
      <c r="E34" s="5" t="n">
        <v>115</v>
      </c>
      <c r="F34" s="213" t="n">
        <v>182000</v>
      </c>
    </row>
    <row r="35" ht="30" customHeight="1" s="67">
      <c r="B35" s="5" t="n">
        <v>24</v>
      </c>
      <c r="C35" s="6" t="inlineStr">
        <is>
          <t xml:space="preserve">የወለድ ወጪዎች 
</t>
        </is>
      </c>
      <c r="D35" s="7" t="inlineStr">
        <is>
          <t>Interest Expenses</t>
        </is>
      </c>
      <c r="E35" s="5" t="n">
        <v>120</v>
      </c>
      <c r="F35" s="213" t="n">
        <v>0</v>
      </c>
    </row>
    <row r="36" ht="30" customHeight="1" s="67">
      <c r="B36" s="5" t="n">
        <v>25</v>
      </c>
      <c r="C36" s="6" t="inlineStr">
        <is>
          <t xml:space="preserve">የእርጅና ቅናሽ ወጪዎች /ለቋሚ ንብረቶች/  
</t>
        </is>
      </c>
      <c r="D36" s="7" t="inlineStr">
        <is>
          <t>Depreciation Expenses</t>
        </is>
      </c>
      <c r="E36" s="5" t="n">
        <v>125</v>
      </c>
      <c r="F36" s="213" t="n">
        <v>97843.48</v>
      </c>
    </row>
    <row r="37" ht="30" customHeight="1" s="67">
      <c r="B37" s="5" t="n">
        <v>26</v>
      </c>
      <c r="C37" s="6" t="inlineStr">
        <is>
          <t xml:space="preserve">የእርጅና ቅናሽ ወጪዎች ግዙፋዊ ህልዎት ለሌላቸው ሀብቶች   
</t>
        </is>
      </c>
      <c r="D37" s="7" t="inlineStr">
        <is>
          <t>Amortization Expenses</t>
        </is>
      </c>
      <c r="E37" s="5" t="n">
        <v>130</v>
      </c>
      <c r="F37" s="213" t="n">
        <v>0</v>
      </c>
    </row>
    <row r="38" ht="30" customHeight="1" s="67">
      <c r="B38" s="5" t="n">
        <v>27</v>
      </c>
      <c r="C38" s="6" t="inlineStr">
        <is>
          <t xml:space="preserve">ተቀናሽ የሚሆን የንግድ ፈቃድና ሌሎች ክፍያዎች      
</t>
        </is>
      </c>
      <c r="D38" s="7" t="inlineStr">
        <is>
          <t>Deductible Taxes and License Fees</t>
        </is>
      </c>
      <c r="E38" s="5" t="n">
        <v>135</v>
      </c>
      <c r="F38" s="213" t="n">
        <v>18534</v>
      </c>
    </row>
    <row r="39" ht="30" customHeight="1" s="67">
      <c r="B39" s="5" t="n">
        <v>28</v>
      </c>
      <c r="C39" s="6" t="inlineStr">
        <is>
          <t xml:space="preserve">ተቀናሽ የሚሆን እርዳታና ስጦታ   
</t>
        </is>
      </c>
      <c r="D39" s="7" t="inlineStr">
        <is>
          <t>Dedutible Donations and Gifts</t>
        </is>
      </c>
      <c r="E39" s="5" t="n">
        <v>140</v>
      </c>
      <c r="F39" s="213" t="n">
        <v>0</v>
      </c>
    </row>
    <row r="40" ht="30" customHeight="1" s="67">
      <c r="B40" s="5" t="n">
        <v>29</v>
      </c>
      <c r="C40" s="6" t="inlineStr">
        <is>
          <t>ሌሎች አስተዳደራዊ ወጪዎች</t>
        </is>
      </c>
      <c r="D40" s="7" t="inlineStr">
        <is>
          <t xml:space="preserve">Other expenses </t>
        </is>
      </c>
      <c r="E40" s="5" t="n">
        <v>145</v>
      </c>
      <c r="F40" s="213" t="n">
        <v>651192.78</v>
      </c>
    </row>
    <row r="41" ht="30" customHeight="1" s="67">
      <c r="B41" s="5" t="n">
        <v>30</v>
      </c>
      <c r="C41" s="6" t="inlineStr">
        <is>
          <t xml:space="preserve">ጠቅላላ ወጪዎች   </t>
        </is>
      </c>
      <c r="D41" s="7" t="inlineStr">
        <is>
          <t xml:space="preserve">Total Expenses </t>
        </is>
      </c>
      <c r="E41" s="5" t="n">
        <v>150</v>
      </c>
      <c r="F41" s="214">
        <f>SUM(F26:F40)</f>
        <v/>
      </c>
    </row>
    <row r="42" ht="30" customHeight="1" s="67">
      <c r="B42" s="5" t="n">
        <v>31</v>
      </c>
      <c r="C42" s="6" t="inlineStr">
        <is>
          <t xml:space="preserve">የገቢ ግብር እፎይታ ከተሰጠዉ የስራ መስክ ካለ የወጪዎች ድምር  </t>
        </is>
      </c>
      <c r="D42" s="7" t="inlineStr">
        <is>
          <t xml:space="preserve">Total Expenses form exmept business sector if any </t>
        </is>
      </c>
      <c r="E42" s="5" t="n">
        <v>155</v>
      </c>
      <c r="F42" s="213" t="n">
        <v>0</v>
      </c>
    </row>
    <row r="43" ht="30" customHeight="1" s="67">
      <c r="B43" s="5" t="n">
        <v>32</v>
      </c>
      <c r="C43" s="6" t="inlineStr">
        <is>
          <t xml:space="preserve">ከጠቅላላ ንግድ ስራ የተጣራ ትርፍ/ኪሳራ </t>
        </is>
      </c>
      <c r="D43" s="7" t="n"/>
      <c r="E43" s="5" t="n">
        <v>160</v>
      </c>
      <c r="F43" s="214">
        <f>F25-(F41-F42)</f>
        <v/>
      </c>
    </row>
    <row r="44" ht="30" customHeight="1" s="67">
      <c r="B44" s="5" t="n">
        <v>33</v>
      </c>
      <c r="C44" s="6" t="inlineStr">
        <is>
          <t xml:space="preserve">ካለፈው የግብር ዘመናት የዞረ ኪሳራ </t>
        </is>
      </c>
      <c r="D44" s="7" t="inlineStr">
        <is>
          <t xml:space="preserve">Loss Carry Forward from Previous Tax Period </t>
        </is>
      </c>
      <c r="E44" s="5" t="n">
        <v>165</v>
      </c>
      <c r="F44" s="213" t="n">
        <v>0</v>
      </c>
    </row>
    <row r="45" ht="30" customHeight="1" s="67">
      <c r="B45" s="5" t="n">
        <v>34</v>
      </c>
      <c r="C45" s="6" t="inlineStr">
        <is>
          <t xml:space="preserve">ወደ አለፉት ግብር ዘመናት እንዲዘዋወር የተፈቀደ ኪሳራ  </t>
        </is>
      </c>
      <c r="D45" s="7" t="inlineStr">
        <is>
          <t xml:space="preserve">Carry Backward Loss Adjustment </t>
        </is>
      </c>
      <c r="E45" s="5" t="n">
        <v>170</v>
      </c>
      <c r="F45" s="213" t="n">
        <v>0</v>
      </c>
    </row>
    <row r="46" ht="30" customHeight="1" s="67">
      <c r="B46" s="5" t="n">
        <v>35</v>
      </c>
      <c r="C46" s="6" t="inlineStr">
        <is>
          <t>ግብር የሚከፈልበት የንግድ ስራ ገቢ</t>
        </is>
      </c>
      <c r="D46" s="7" t="inlineStr">
        <is>
          <t xml:space="preserve">Taxable Income </t>
        </is>
      </c>
      <c r="E46" s="5" t="n">
        <v>175</v>
      </c>
      <c r="F46" s="214">
        <f>F43-F44-F45</f>
        <v/>
      </c>
    </row>
    <row r="47" ht="48.75" customHeight="1" s="67">
      <c r="B47" s="5" t="n">
        <v>36</v>
      </c>
      <c r="C47" s="6" t="inlineStr">
        <is>
          <t xml:space="preserve">በመደበኛ ተመን መከፈል ያለበት የንግድ ትርፍ ግብር ለድርጅቶች 
ከአንድ ንግድ ዘርፍ በላይ ለተሰማራ ግለሰብ </t>
        </is>
      </c>
      <c r="D47" s="6" t="inlineStr">
        <is>
          <t xml:space="preserve">
 </t>
        </is>
      </c>
      <c r="E47" s="5" t="n">
        <v>180</v>
      </c>
      <c r="F47" s="214">
        <f>F46*0.3</f>
        <v/>
      </c>
    </row>
    <row r="48" ht="30" customHeight="1" s="67">
      <c r="B48" s="5" t="n">
        <v>37</v>
      </c>
      <c r="C48" s="6" t="inlineStr">
        <is>
          <t xml:space="preserve">በአማራጭ አነስተኛ የግብር ተመን መሰረት የሚከፈል  የገቢ ግብር 
</t>
        </is>
      </c>
      <c r="D48" s="7" t="inlineStr">
        <is>
          <t>Profit Income Tax Payable based on Minimum Alternative Tax Rate</t>
        </is>
      </c>
      <c r="E48" s="5" t="n">
        <v>185</v>
      </c>
      <c r="F48" s="214">
        <f>F23*0.025</f>
        <v/>
      </c>
    </row>
    <row r="49" ht="30" customHeight="1" s="67">
      <c r="B49" s="5" t="n">
        <v>38</v>
      </c>
      <c r="C49" s="6" t="inlineStr">
        <is>
          <t xml:space="preserve">የሚከፈል የትርፍ ገቢ ግብር </t>
        </is>
      </c>
      <c r="D49" s="10" t="inlineStr">
        <is>
          <t>Profit Income Tax Payable</t>
        </is>
      </c>
      <c r="E49" s="5" t="n">
        <v>190</v>
      </c>
      <c r="F49" s="214">
        <f>MAX(F47,F48)</f>
        <v/>
      </c>
    </row>
    <row r="50" ht="30" customHeight="1" s="67">
      <c r="B50" s="5" t="n">
        <v>39</v>
      </c>
      <c r="C50" s="6" t="inlineStr">
        <is>
          <t xml:space="preserve">ከዉጪ ሀገር የተገኘ  የተጣራ የንግድ ትርፍ ግብር  
</t>
        </is>
      </c>
      <c r="D50" s="6" t="inlineStr">
        <is>
          <t xml:space="preserve">Net Foreign Income payable  </t>
        </is>
      </c>
      <c r="E50" s="5" t="n">
        <v>195</v>
      </c>
      <c r="F50" s="213" t="n">
        <v>0</v>
      </c>
    </row>
    <row r="51" ht="30" customHeight="1" s="67">
      <c r="B51" s="5" t="n">
        <v>40</v>
      </c>
      <c r="C51" s="25" t="inlineStr">
        <is>
          <t xml:space="preserve">ጠቅላላ የሚከፈል የትርፍ ገቢ ግብር ከዉጪ ሀገር የተገኘን ጨምሮ  </t>
        </is>
      </c>
      <c r="D51" s="25" t="inlineStr">
        <is>
          <t xml:space="preserve">
 </t>
        </is>
      </c>
      <c r="E51" s="5" t="n">
        <v>200</v>
      </c>
      <c r="F51" s="214">
        <f>F49+F50</f>
        <v/>
      </c>
    </row>
    <row r="52" ht="67.5" customHeight="1" s="67">
      <c r="B52" s="5" t="n">
        <v>41</v>
      </c>
      <c r="C52" s="25" t="inlineStr">
        <is>
          <t>የባለፈዉ ዓመት  በብልጫ የተከፈለ  አማራጭ አነስተኛ ግብር (በኦዲት የተረጋገጠ )</t>
        </is>
      </c>
      <c r="D52" s="25" t="inlineStr">
        <is>
          <t xml:space="preserve">previous Year Excess MAT Paid  Aproved by Audit </t>
        </is>
      </c>
      <c r="E52" s="22" t="n">
        <v>205</v>
      </c>
      <c r="F52" s="215" t="n">
        <v>0</v>
      </c>
    </row>
    <row r="53" ht="39.75" customHeight="1" s="67">
      <c r="B53" s="5" t="n">
        <v>42</v>
      </c>
      <c r="C53" s="25" t="inlineStr">
        <is>
          <t>የዘርፉ አማራጭ አነስተኛ መቶኛ ድርሻ</t>
        </is>
      </c>
      <c r="D53" s="25" t="inlineStr">
        <is>
          <t>Proportional MAT rate for the sector</t>
        </is>
      </c>
      <c r="E53" s="5" t="n">
        <v>210</v>
      </c>
      <c r="F53" s="215" t="n">
        <v>0</v>
      </c>
    </row>
    <row r="54" ht="30" customHeight="1" s="67">
      <c r="B54" s="5" t="n">
        <v>43</v>
      </c>
      <c r="C54" s="25" t="inlineStr">
        <is>
          <t>ካለፈዉ ዓመት እንዲዞር የተፈቀደ በሽያጭ መቶኛ መሰረት የዚህ ዘርፍ ድርሻ መጠን</t>
        </is>
      </c>
      <c r="D54" s="25" t="inlineStr">
        <is>
          <t>previous MAT Credit amount for this sector based on the Proportional rate</t>
        </is>
      </c>
      <c r="E54" s="5" t="n">
        <v>215</v>
      </c>
      <c r="F54" s="213" t="n">
        <v>0</v>
      </c>
    </row>
    <row r="55" ht="45" customHeight="1" s="67">
      <c r="B55" s="5" t="n">
        <v>44</v>
      </c>
      <c r="C55" s="6" t="inlineStr">
        <is>
          <t xml:space="preserve">እስከ 5 ዓመት ግብር ከፋዩ የከፈለዉ ግብር ሊከፍል ከሚገባው የንግድ ትርፍ ላይ የሚቀነስ የገንዘብ መጠን መደበኛ ተመን ከአማራጭ አነስተኛ ሲበልጥ መስመር </t>
        </is>
      </c>
      <c r="D55" s="25" t="inlineStr">
        <is>
          <t>Maximum deductable MAT [if Standard rate is greater than MAT</t>
        </is>
      </c>
      <c r="E55" s="5" t="n">
        <v>220</v>
      </c>
      <c r="F55" s="213" t="n">
        <v>0</v>
      </c>
    </row>
    <row r="56" ht="30" customHeight="1" s="67">
      <c r="B56" s="5" t="n">
        <v>45</v>
      </c>
      <c r="C56" s="25" t="inlineStr">
        <is>
          <t xml:space="preserve">በበጀት ዓመቱ በብልጫ የተከፈለ አማራጭ አነስተኛ ግብር </t>
        </is>
      </c>
      <c r="D56" s="25" t="inlineStr">
        <is>
          <t xml:space="preserve">Current Year MAT available [if MAT is greater than Standard rate </t>
        </is>
      </c>
      <c r="E56" s="5" t="n">
        <v>225</v>
      </c>
      <c r="F56" s="213" t="n">
        <v>0</v>
      </c>
      <c r="G56" s="35" t="n"/>
    </row>
    <row r="57" ht="30" customHeight="1" s="67">
      <c r="B57" s="5" t="n">
        <v>46</v>
      </c>
      <c r="C57" s="25" t="inlineStr">
        <is>
          <t xml:space="preserve">በበጀት ዓመቱ ያለ አማራጭ አነስተኛ ግብር </t>
        </is>
      </c>
      <c r="D57" s="25" t="inlineStr">
        <is>
          <t>available MAT credit</t>
        </is>
      </c>
      <c r="E57" s="5" t="n">
        <v>230</v>
      </c>
      <c r="F57" s="213" t="n">
        <v>0</v>
      </c>
    </row>
    <row r="58" ht="30" customHeight="1" s="67">
      <c r="B58" s="5" t="n">
        <v>47</v>
      </c>
      <c r="C58" s="25" t="inlineStr">
        <is>
          <t>በበጀት ዓመቱ የተጠቀመዉ አማራጭ አነስተኛ ግብር ማቀናነስ የሚፈቀድለት</t>
        </is>
      </c>
      <c r="D58" s="25" t="inlineStr">
        <is>
          <t>MAT Credit Used [up to standard rate]</t>
        </is>
      </c>
      <c r="E58" s="22" t="n">
        <v>235</v>
      </c>
      <c r="F58" s="213" t="n">
        <v>0</v>
      </c>
    </row>
    <row r="59" ht="35.25" customHeight="1" s="67">
      <c r="B59" s="5" t="n">
        <v>48</v>
      </c>
      <c r="C59" s="69" t="inlineStr">
        <is>
          <t>ተከፋይ ግብር (በሁሉም የንግድ ስራ መስክ በዚሁ የመስመር ቁጥር ላይ ያሉትን ድምር ያሳይ)</t>
        </is>
      </c>
      <c r="D59" s="69" t="inlineStr">
        <is>
          <t>Tax to be paid after MAT credit (በሁሉም የንግድ ስራ መስክ በዚሁ የመስመር ቁጥር ላይ ያሉትን ድምር ያሳይ)</t>
        </is>
      </c>
      <c r="E59" s="5" t="n">
        <v>240</v>
      </c>
      <c r="F59" s="216">
        <f>F51-F58</f>
        <v/>
      </c>
      <c r="G59" s="59" t="n"/>
    </row>
    <row r="60" ht="30" customHeight="1" s="67">
      <c r="B60" s="5" t="n">
        <v>49</v>
      </c>
      <c r="C60" s="25" t="inlineStr">
        <is>
          <t xml:space="preserve">ወደ ቀጣይ ዓመት የሚዞረዉ  አማራጭ አነስተኛ ግብር </t>
        </is>
      </c>
      <c r="D60" s="25" t="inlineStr">
        <is>
          <t>MAT credit forwarded</t>
        </is>
      </c>
      <c r="E60" s="5" t="n">
        <v>245</v>
      </c>
      <c r="F60" s="59" t="n"/>
    </row>
    <row r="61" ht="30" customHeight="1" s="67">
      <c r="B61" s="68" t="n">
        <v>50</v>
      </c>
      <c r="C61" s="59" t="inlineStr">
        <is>
          <t xml:space="preserve">በየሩብ ዓመቱ የተከፈለ ክፍያ  </t>
        </is>
      </c>
      <c r="D61" s="62" t="inlineStr">
        <is>
          <t>Quarterly Advance Payment</t>
        </is>
      </c>
      <c r="E61" s="5" t="n">
        <v>250</v>
      </c>
      <c r="F61" s="217" t="n">
        <v>0</v>
      </c>
    </row>
    <row r="62" ht="33" customHeight="1" s="67">
      <c r="B62" s="5" t="n">
        <v>51</v>
      </c>
      <c r="C62" s="59" t="inlineStr">
        <is>
          <t>ቅድሚያ የግብር ክፍያ በሀገር ውስጥ ግዥ በተከፋይ ሒሳብ ላይ የተከፈለ</t>
        </is>
      </c>
      <c r="D62" s="62" t="inlineStr">
        <is>
          <t xml:space="preserve"> Withholding Tax paid when purchese at domestic </t>
        </is>
      </c>
      <c r="E62" s="5" t="n">
        <v>255</v>
      </c>
      <c r="F62" s="217" t="n">
        <v>62475.91</v>
      </c>
    </row>
    <row r="63" ht="30.75" customHeight="1" s="67">
      <c r="B63" s="5" t="n">
        <v>52</v>
      </c>
      <c r="C63" s="59" t="inlineStr">
        <is>
          <t xml:space="preserve">ቅድሚያ የግብር ክፍያ በአስመጪነት ጉምሩክ ላይ የተከፈለ 
</t>
        </is>
      </c>
      <c r="D63" s="62" t="inlineStr">
        <is>
          <t>Withholding Tax Paid at Customes when Import</t>
        </is>
      </c>
      <c r="E63" s="22" t="n">
        <v>260</v>
      </c>
      <c r="F63" s="217" t="n">
        <v>0</v>
      </c>
    </row>
    <row r="64" ht="30.75" customHeight="1" s="67">
      <c r="B64" s="5" t="n">
        <v>53</v>
      </c>
      <c r="C64" s="59" t="inlineStr">
        <is>
          <t>ጠቅላላ በቅድሚያ የተከፈለ ግብር (መስመር 250+255+260)</t>
        </is>
      </c>
      <c r="D64" s="62" t="inlineStr">
        <is>
          <t>Total  (Line 250+255+260)</t>
        </is>
      </c>
      <c r="E64" s="5" t="n">
        <v>265</v>
      </c>
      <c r="F64" s="218">
        <f>SUM(F61:F63)</f>
        <v/>
      </c>
    </row>
    <row r="65" ht="30" customHeight="1" s="67">
      <c r="B65" s="5" t="n">
        <v>54</v>
      </c>
      <c r="C65" s="59" t="inlineStr">
        <is>
          <t xml:space="preserve">በቀሪ መከፈል ያለበት ግብር/ተመላሽ/ (መስመር 240 - መስመር 265)   
</t>
        </is>
      </c>
      <c r="D65" s="62" t="inlineStr">
        <is>
          <t>Net Tax Due/Refundable Amount (Line 240-line 265)</t>
        </is>
      </c>
      <c r="E65" s="5" t="n">
        <v>270</v>
      </c>
      <c r="F65" s="218">
        <f>F59-F64</f>
        <v/>
      </c>
    </row>
    <row r="66" ht="30" customHeight="1" s="67">
      <c r="B66" s="5" t="n">
        <v>55</v>
      </c>
      <c r="C66" s="6" t="inlineStr">
        <is>
          <t>ተመላሽ     
Refund</t>
        </is>
      </c>
      <c r="D66" s="60" t="n"/>
      <c r="E66" s="5" t="n">
        <v>275</v>
      </c>
      <c r="F66" s="191" t="n"/>
    </row>
    <row r="67" ht="28.5" customHeight="1" s="67" thickBot="1">
      <c r="B67" s="5" t="n">
        <v>56</v>
      </c>
      <c r="C67" s="63" t="inlineStr">
        <is>
          <t>በብልጫ በየሩብ ዓመቱ የተከፈለ ቅድመ ክፍያ ተመላሽ</t>
        </is>
      </c>
      <c r="D67" s="64" t="inlineStr">
        <is>
          <t>Quarterly Advance Payment refund</t>
        </is>
      </c>
      <c r="E67" s="5" t="n">
        <v>280</v>
      </c>
      <c r="F67" s="219" t="n"/>
    </row>
    <row r="68" ht="42" customFormat="1" customHeight="1" s="70" thickBot="1">
      <c r="B68" s="150" t="inlineStr">
        <is>
          <t xml:space="preserve"> ክፍል 3 - የግብር ከፋይ የትክክለኛነት ማረጋገጫ (Section 3- Taxpayer Certfication)</t>
        </is>
      </c>
      <c r="C68" s="203" t="n"/>
      <c r="D68" s="102" t="inlineStr">
        <is>
          <t>ክፍል---4 ለቢሮ አገልግሎት ብቻ
For office use only</t>
        </is>
      </c>
      <c r="E68" s="103" t="n"/>
      <c r="F68" s="108" t="inlineStr">
        <is>
          <t>የገንዘብ ተቀባይ ስምና ፊርማ
Cashier's Name and Signature</t>
        </is>
      </c>
    </row>
    <row r="69" ht="93" customFormat="1" customHeight="1" s="74" thickBot="1">
      <c r="A69" s="71" t="n"/>
      <c r="B69" s="167" t="inlineStr">
        <is>
          <t>ከላይ የተገለጸው ማስታወቂያ የተሰጠው መረጃ በሙሉ የተሟላና ትክክለኛ መሆኑን አረጋግጣለው፡፡ ትክክለኛ ያልሆነ መረጃ ማቅረብ በግብር ህጎችም ሆነ በወንጀለኛ መቅጫ ሕግ የሚያስቀጣ መሆኑን እገነዘባለሁ፡፡ (I declare that the above declaration and all  information provide here with is correct &amp;complet to the best of my knoldge &amp;belief I understand that any this representation is punshable under the appropriat tax law and penal code)</t>
        </is>
      </c>
      <c r="C69" s="203" t="n"/>
      <c r="D69" s="72" t="inlineStr">
        <is>
          <t xml:space="preserve">የተከፈለበት ቀን
Date of Paymen  ………………………………………….
ደረሰኝ ቁጥር
Receipt Number  ………………………………………….
</t>
        </is>
      </c>
      <c r="E69" s="104" t="n"/>
      <c r="F69" s="109" t="inlineStr">
        <is>
          <t>የገቢዎች ሚኒስቴር 
(Authorized Tax Office)</t>
        </is>
      </c>
    </row>
    <row r="70" ht="28.5" customFormat="1" customHeight="1" s="74" thickBot="1">
      <c r="A70" s="71" t="n"/>
      <c r="B70" s="76" t="n"/>
      <c r="C70" s="77" t="inlineStr">
        <is>
          <t>የግብር ከፋይ ህጋዊ ወኪል (Taxpayers of Authorized Agent )</t>
        </is>
      </c>
      <c r="D70" s="72" t="inlineStr">
        <is>
          <t>የክፍያ መጠን
Amount of Payment ………………………………….</t>
        </is>
      </c>
      <c r="E70" s="105" t="n"/>
      <c r="F70" s="110" t="inlineStr">
        <is>
          <t xml:space="preserve">ስም 
(Name)     …………………………………………. </t>
        </is>
      </c>
    </row>
    <row r="71" ht="46.5" customFormat="1" customHeight="1" s="74" thickBot="1">
      <c r="A71" s="71" t="n"/>
      <c r="B71" s="80" t="n"/>
      <c r="C71" s="220" t="inlineStr">
        <is>
          <t>ስም 
(Name)      ---------------------------------
►  Dr. Henok Fasil Telila (General Manager)</t>
        </is>
      </c>
      <c r="D71" s="78" t="inlineStr">
        <is>
          <t>የቼክ ቁጥር 
(Check Number)  ………………………………………………….</t>
        </is>
      </c>
      <c r="E71" s="106" t="n"/>
      <c r="F71" s="111" t="inlineStr">
        <is>
          <t xml:space="preserve">ፊርማ 
(Signature)     …………………………………  </t>
        </is>
      </c>
    </row>
    <row r="72" ht="27.75" customFormat="1" customHeight="1" s="74" thickBot="1">
      <c r="A72" s="84" t="n"/>
      <c r="B72" s="85" t="n"/>
      <c r="C72" s="86" t="inlineStr">
        <is>
          <t>ፊርማ 
(Signature)       ---------------------------------</t>
        </is>
      </c>
      <c r="D72" s="167" t="inlineStr">
        <is>
          <t>የግብር ከፋይ ማህተም 
(Taxpayer Seal)</t>
        </is>
      </c>
      <c r="E72" s="106" t="n"/>
      <c r="F72" s="112" t="inlineStr">
        <is>
          <t>ቀን 
(Date)  …………………………………</t>
        </is>
      </c>
    </row>
    <row r="73" ht="22.5" customFormat="1" customHeight="1" s="74" thickBot="1">
      <c r="A73" s="88" t="n"/>
      <c r="B73" s="89" t="n"/>
      <c r="C73" s="90" t="inlineStr">
        <is>
          <t>ቀን 
(Date)  ---------------------------------</t>
        </is>
      </c>
      <c r="D73" s="209" t="n"/>
      <c r="E73" s="107" t="n"/>
      <c r="F73" s="113" t="n"/>
      <c r="I73" s="93" t="n"/>
      <c r="J73" s="74" t="n"/>
    </row>
  </sheetData>
  <mergeCells count="18">
    <mergeCell ref="D8:E8"/>
    <mergeCell ref="B69:C69"/>
    <mergeCell ref="E4:F4"/>
    <mergeCell ref="B68:C68"/>
    <mergeCell ref="B10:G10"/>
    <mergeCell ref="D6:E6"/>
    <mergeCell ref="D7:E7"/>
    <mergeCell ref="B7:C7"/>
    <mergeCell ref="B5:G5"/>
    <mergeCell ref="B6:C6"/>
    <mergeCell ref="B1:B3"/>
    <mergeCell ref="D2:F2"/>
    <mergeCell ref="D72:D73"/>
    <mergeCell ref="D3:F3"/>
    <mergeCell ref="B8:C8"/>
    <mergeCell ref="D9:E9"/>
    <mergeCell ref="D1:F1"/>
    <mergeCell ref="F9:G9"/>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2026-07-19T10:46:47Z</dcterms:created>
  <dcterms:modified xmlns:dcterms="http://purl.org/dc/terms/" xmlns:xsi="http://www.w3.org/2001/XMLSchema-instance" xsi:type="dcterms:W3CDTF">2026-09-27T15:27:10Z</dcterms:modified>
  <cp:lastModifiedBy>Windows User</cp:lastModifiedBy>
  <cp:lastPrinted>2026-07-22T13:57:50Z</cp:lastPrinted>
</cp:coreProperties>
</file>